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10" windowWidth="19815" windowHeight="7110" activeTab="4"/>
  </bookViews>
  <sheets>
    <sheet name="Inventory_Data" sheetId="1" r:id="rId1"/>
    <sheet name="Summary" sheetId="2" r:id="rId2"/>
    <sheet name="Pivot_Analysis" sheetId="3" r:id="rId3"/>
    <sheet name="Delivery_Tracker" sheetId="4" r:id="rId4"/>
    <sheet name="Dashboard" sheetId="5" r:id="rId5"/>
    <sheet name="Stock_Monitor" sheetId="6" r:id="rId6"/>
  </sheets>
  <externalReferences>
    <externalReference r:id="rId7"/>
    <externalReference r:id="rId8"/>
    <externalReference r:id="rId9"/>
  </externalReferences>
  <calcPr calcId="124519"/>
</workbook>
</file>

<file path=xl/calcChain.xml><?xml version="1.0" encoding="utf-8"?>
<calcChain xmlns="http://schemas.openxmlformats.org/spreadsheetml/2006/main">
  <c r="C16" i="5"/>
  <c r="C15"/>
  <c r="C14"/>
  <c r="C13"/>
  <c r="F11" i="3"/>
  <c r="E11"/>
  <c r="C11"/>
  <c r="D11" s="1"/>
  <c r="B11"/>
  <c r="G10" i="2"/>
  <c r="E10"/>
  <c r="C10"/>
  <c r="A10"/>
  <c r="G6"/>
  <c r="E6"/>
  <c r="C6"/>
  <c r="A6"/>
</calcChain>
</file>

<file path=xl/sharedStrings.xml><?xml version="1.0" encoding="utf-8"?>
<sst xmlns="http://schemas.openxmlformats.org/spreadsheetml/2006/main" count="1082" uniqueCount="233">
  <si>
    <t>Product_ID</t>
  </si>
  <si>
    <t>Product_Name</t>
  </si>
  <si>
    <t>Category</t>
  </si>
  <si>
    <t>Stock_Quantity</t>
  </si>
  <si>
    <t>Order_Date</t>
  </si>
  <si>
    <t>Delivery_Date</t>
  </si>
  <si>
    <t>Order_Status</t>
  </si>
  <si>
    <t>Delivery_Days</t>
  </si>
  <si>
    <t>Stock_Status</t>
  </si>
  <si>
    <t>P1001</t>
  </si>
  <si>
    <t>Laptop</t>
  </si>
  <si>
    <t>Electronics</t>
  </si>
  <si>
    <t>2026-01-04</t>
  </si>
  <si>
    <t>Pending</t>
  </si>
  <si>
    <t>Overstocked</t>
  </si>
  <si>
    <t>P1002</t>
  </si>
  <si>
    <t>Smartphone</t>
  </si>
  <si>
    <t>2026-01-08</t>
  </si>
  <si>
    <t>Optimal</t>
  </si>
  <si>
    <t>P1003</t>
  </si>
  <si>
    <t>Tablet</t>
  </si>
  <si>
    <t>2026-01-24</t>
  </si>
  <si>
    <t>2026-01-28</t>
  </si>
  <si>
    <t>Delivered</t>
  </si>
  <si>
    <t>P1004</t>
  </si>
  <si>
    <t>Headphones</t>
  </si>
  <si>
    <t>2026-01-01</t>
  </si>
  <si>
    <t>2026-01-18</t>
  </si>
  <si>
    <t>Low Stock</t>
  </si>
  <si>
    <t>P1005</t>
  </si>
  <si>
    <t>T-Shirt</t>
  </si>
  <si>
    <t>Clothing</t>
  </si>
  <si>
    <t>2026-01-22</t>
  </si>
  <si>
    <t>P1006</t>
  </si>
  <si>
    <t>Jeans</t>
  </si>
  <si>
    <t>P1007</t>
  </si>
  <si>
    <t>Jacket</t>
  </si>
  <si>
    <t>2026-01-26</t>
  </si>
  <si>
    <t>2026-01-27</t>
  </si>
  <si>
    <t>P1008</t>
  </si>
  <si>
    <t>Chair</t>
  </si>
  <si>
    <t>Furniture</t>
  </si>
  <si>
    <t>2026-01-14</t>
  </si>
  <si>
    <t>P1009</t>
  </si>
  <si>
    <t>Desk</t>
  </si>
  <si>
    <t>2026-01-11</t>
  </si>
  <si>
    <t>2026-01-15</t>
  </si>
  <si>
    <t>P1010</t>
  </si>
  <si>
    <t>Sofa</t>
  </si>
  <si>
    <t>P1011</t>
  </si>
  <si>
    <t>Python Guide</t>
  </si>
  <si>
    <t>Books</t>
  </si>
  <si>
    <t>P1012</t>
  </si>
  <si>
    <t>Data Science</t>
  </si>
  <si>
    <t>Cancelled</t>
  </si>
  <si>
    <t>P1013</t>
  </si>
  <si>
    <t>Yoga Mat</t>
  </si>
  <si>
    <t>Sports</t>
  </si>
  <si>
    <t>P1014</t>
  </si>
  <si>
    <t>Dumbbell</t>
  </si>
  <si>
    <t>2026-01-03</t>
  </si>
  <si>
    <t>P1015</t>
  </si>
  <si>
    <t>Running Shoes</t>
  </si>
  <si>
    <t>2026-01-07</t>
  </si>
  <si>
    <t>P1016</t>
  </si>
  <si>
    <t>2026-01-09</t>
  </si>
  <si>
    <t>P1017</t>
  </si>
  <si>
    <t>2026-01-06</t>
  </si>
  <si>
    <t>P1018</t>
  </si>
  <si>
    <t>2026-01-23</t>
  </si>
  <si>
    <t>P1019</t>
  </si>
  <si>
    <t>2026-01-20</t>
  </si>
  <si>
    <t>P1020</t>
  </si>
  <si>
    <t>P1021</t>
  </si>
  <si>
    <t>P1022</t>
  </si>
  <si>
    <t>2026-01-19</t>
  </si>
  <si>
    <t>P1023</t>
  </si>
  <si>
    <t>P1024</t>
  </si>
  <si>
    <t>P1025</t>
  </si>
  <si>
    <t>2026-01-21</t>
  </si>
  <si>
    <t>P1026</t>
  </si>
  <si>
    <t>P1027</t>
  </si>
  <si>
    <t>2026-01-13</t>
  </si>
  <si>
    <t>2026-01-16</t>
  </si>
  <si>
    <t>P1028</t>
  </si>
  <si>
    <t>P1029</t>
  </si>
  <si>
    <t>2026-01-05</t>
  </si>
  <si>
    <t>P1030</t>
  </si>
  <si>
    <t>P1031</t>
  </si>
  <si>
    <t>2026-02-09</t>
  </si>
  <si>
    <t>In Transit</t>
  </si>
  <si>
    <t>P1032</t>
  </si>
  <si>
    <t>2026-02-22</t>
  </si>
  <si>
    <t>2026-02-27</t>
  </si>
  <si>
    <t>P1033</t>
  </si>
  <si>
    <t>P1034</t>
  </si>
  <si>
    <t>2026-02-10</t>
  </si>
  <si>
    <t>2026-02-11</t>
  </si>
  <si>
    <t>P1035</t>
  </si>
  <si>
    <t>2026-02-24</t>
  </si>
  <si>
    <t>P1036</t>
  </si>
  <si>
    <t>2026-02-06</t>
  </si>
  <si>
    <t>P1037</t>
  </si>
  <si>
    <t>P1038</t>
  </si>
  <si>
    <t>2026-02-07</t>
  </si>
  <si>
    <t>2026-02-13</t>
  </si>
  <si>
    <t>P1039</t>
  </si>
  <si>
    <t>2026-02-25</t>
  </si>
  <si>
    <t>2026-02-26</t>
  </si>
  <si>
    <t>P1040</t>
  </si>
  <si>
    <t>2026-02-23</t>
  </si>
  <si>
    <t>P1041</t>
  </si>
  <si>
    <t>2026-02-08</t>
  </si>
  <si>
    <t>P1042</t>
  </si>
  <si>
    <t>2026-02-03</t>
  </si>
  <si>
    <t>P1043</t>
  </si>
  <si>
    <t>2026-02-18</t>
  </si>
  <si>
    <t>P1044</t>
  </si>
  <si>
    <t>P1045</t>
  </si>
  <si>
    <t>2026-02-14</t>
  </si>
  <si>
    <t>P1046</t>
  </si>
  <si>
    <t>P1047</t>
  </si>
  <si>
    <t>2026-02-12</t>
  </si>
  <si>
    <t>P1048</t>
  </si>
  <si>
    <t>2026-02-04</t>
  </si>
  <si>
    <t>2026-02-15</t>
  </si>
  <si>
    <t>P1049</t>
  </si>
  <si>
    <t>2026-02-19</t>
  </si>
  <si>
    <t>P1050</t>
  </si>
  <si>
    <t>P1051</t>
  </si>
  <si>
    <t>P1052</t>
  </si>
  <si>
    <t>2026-02-17</t>
  </si>
  <si>
    <t>P1053</t>
  </si>
  <si>
    <t>P1054</t>
  </si>
  <si>
    <t>P1055</t>
  </si>
  <si>
    <t>2026-02-21</t>
  </si>
  <si>
    <t>P1056</t>
  </si>
  <si>
    <t>P1057</t>
  </si>
  <si>
    <t>P1058</t>
  </si>
  <si>
    <t>2026-02-02</t>
  </si>
  <si>
    <t>P1059</t>
  </si>
  <si>
    <t>P1060</t>
  </si>
  <si>
    <t>P1061</t>
  </si>
  <si>
    <t>2026-03-15</t>
  </si>
  <si>
    <t>P1062</t>
  </si>
  <si>
    <t>2026-03-04</t>
  </si>
  <si>
    <t>P1063</t>
  </si>
  <si>
    <t>2026-03-27</t>
  </si>
  <si>
    <t>P1064</t>
  </si>
  <si>
    <t>2026-03-28</t>
  </si>
  <si>
    <t>P1065</t>
  </si>
  <si>
    <t>2026-03-07</t>
  </si>
  <si>
    <t>2026-03-09</t>
  </si>
  <si>
    <t>P1066</t>
  </si>
  <si>
    <t>2026-03-13</t>
  </si>
  <si>
    <t>P1067</t>
  </si>
  <si>
    <t>2026-03-26</t>
  </si>
  <si>
    <t>P1068</t>
  </si>
  <si>
    <t>2026-03-24</t>
  </si>
  <si>
    <t>P1069</t>
  </si>
  <si>
    <t>2026-03-16</t>
  </si>
  <si>
    <t>2026-03-20</t>
  </si>
  <si>
    <t>P1070</t>
  </si>
  <si>
    <t>2026-03-19</t>
  </si>
  <si>
    <t>2026-03-25</t>
  </si>
  <si>
    <t>P1071</t>
  </si>
  <si>
    <t>2026-03-02</t>
  </si>
  <si>
    <t>P1072</t>
  </si>
  <si>
    <t>2026-03-08</t>
  </si>
  <si>
    <t>P1073</t>
  </si>
  <si>
    <t>P1074</t>
  </si>
  <si>
    <t>P1075</t>
  </si>
  <si>
    <t>P1076</t>
  </si>
  <si>
    <t>2026-03-03</t>
  </si>
  <si>
    <t>P1077</t>
  </si>
  <si>
    <t>2026-03-17</t>
  </si>
  <si>
    <t>P1078</t>
  </si>
  <si>
    <t>2026-03-22</t>
  </si>
  <si>
    <t>P1079</t>
  </si>
  <si>
    <t>2026-03-05</t>
  </si>
  <si>
    <t>P1080</t>
  </si>
  <si>
    <t>2026-03-11</t>
  </si>
  <si>
    <t>P1081</t>
  </si>
  <si>
    <t>2026-03-01</t>
  </si>
  <si>
    <t>P1082</t>
  </si>
  <si>
    <t>2026-03-21</t>
  </si>
  <si>
    <t>P1083</t>
  </si>
  <si>
    <t>P1084</t>
  </si>
  <si>
    <t>2026-03-12</t>
  </si>
  <si>
    <t>P1085</t>
  </si>
  <si>
    <t>P1086</t>
  </si>
  <si>
    <t>P1087</t>
  </si>
  <si>
    <t>P1088</t>
  </si>
  <si>
    <t>P1089</t>
  </si>
  <si>
    <t>2026-03-18</t>
  </si>
  <si>
    <t>P1090</t>
  </si>
  <si>
    <t>Smart Inventory Optimization &amp; Order Fulfillment Intelligence System</t>
  </si>
  <si>
    <t>LinkedIn Fellowship – AI Careers for Women  |  Student: Bhumika Rawat  |  Year 2026</t>
  </si>
  <si>
    <t>Total Orders</t>
  </si>
  <si>
    <t>Pending / Transit</t>
  </si>
  <si>
    <t>Avg Delivery Days</t>
  </si>
  <si>
    <t>Low Stock Items</t>
  </si>
  <si>
    <t>Overstocked Items</t>
  </si>
  <si>
    <t>Optimal Stock</t>
  </si>
  <si>
    <t>Pivot Analysis – Category &amp; Order Performance</t>
  </si>
  <si>
    <t>Delivery Rate (%)</t>
  </si>
  <si>
    <t>Avg Stock Qty</t>
  </si>
  <si>
    <t>TOTAL</t>
  </si>
  <si>
    <t>Order Status</t>
  </si>
  <si>
    <t>Count</t>
  </si>
  <si>
    <t>Percentage (%)</t>
  </si>
  <si>
    <t>Order Delivery Performance Tracker</t>
  </si>
  <si>
    <t>Performance</t>
  </si>
  <si>
    <t>Delayed</t>
  </si>
  <si>
    <t>On Time</t>
  </si>
  <si>
    <t>📊  Smart Inventory &amp; Order Fulfillment Dashboard</t>
  </si>
  <si>
    <t>LinkedIn Fellowship – AI Careers for Women | Bhumika Rawat | Graphic Era Hill University | 2026</t>
  </si>
  <si>
    <t>Inventory Stock Level Monitor</t>
  </si>
  <si>
    <t>Action Required</t>
  </si>
  <si>
    <t>📦 Reduce Orders</t>
  </si>
  <si>
    <t>✅ No Action</t>
  </si>
  <si>
    <t>⚠ Reorder Now</t>
  </si>
  <si>
    <t>8.4d</t>
  </si>
  <si>
    <t>⚠  Low Stock Items</t>
  </si>
  <si>
    <t>📈  Overstocked Items</t>
  </si>
  <si>
    <t>🎯  Optimal Stock</t>
  </si>
  <si>
    <t>KEY PERFORMANCE INDICATORS</t>
  </si>
  <si>
    <t>Pending/Transit</t>
  </si>
  <si>
    <t>Avg Delivery</t>
  </si>
  <si>
    <t>STOCK STATUS OVERVIEW</t>
  </si>
  <si>
    <t>ORDER STATUS BREAKDOWN</t>
  </si>
  <si>
    <t>Per.(%)</t>
  </si>
  <si>
    <t>s</t>
  </si>
</sst>
</file>

<file path=xl/styles.xml><?xml version="1.0" encoding="utf-8"?>
<styleSheet xmlns="http://schemas.openxmlformats.org/spreadsheetml/2006/main">
  <numFmts count="1">
    <numFmt numFmtId="164" formatCode="0.0%"/>
  </numFmts>
  <fonts count="32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b/>
      <sz val="26"/>
      <color rgb="FFFFFFFF"/>
      <name val="Arial"/>
    </font>
    <font>
      <b/>
      <sz val="10"/>
      <color rgb="FFFFFFFF"/>
      <name val="Arial"/>
    </font>
    <font>
      <b/>
      <sz val="24"/>
      <color rgb="FFFFFFFF"/>
      <name val="Arial"/>
    </font>
    <font>
      <b/>
      <sz val="14"/>
      <color rgb="FFFFFFFF"/>
      <name val="Arial"/>
    </font>
    <font>
      <b/>
      <sz val="11"/>
      <color rgb="FF9C0006"/>
      <name val="Arial"/>
    </font>
    <font>
      <b/>
      <sz val="11"/>
      <color rgb="FF375623"/>
      <name val="Arial"/>
    </font>
    <font>
      <b/>
      <sz val="11"/>
      <color rgb="FF7030A0"/>
      <name val="Arial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6"/>
      <color rgb="FF1B2A4A"/>
      <name val="Arial"/>
      <charset val="1"/>
    </font>
    <font>
      <b/>
      <sz val="16"/>
      <color rgb="FF27AE60"/>
      <name val="Arial"/>
      <charset val="1"/>
    </font>
    <font>
      <b/>
      <sz val="16"/>
      <color rgb="FF2196F3"/>
      <name val="Arial"/>
      <charset val="1"/>
    </font>
    <font>
      <b/>
      <sz val="16"/>
      <color rgb="FFE74C3C"/>
      <name val="Arial"/>
      <charset val="1"/>
    </font>
    <font>
      <b/>
      <sz val="16"/>
      <color rgb="FF8E44AD"/>
      <name val="Arial"/>
      <charset val="1"/>
    </font>
    <font>
      <b/>
      <sz val="16"/>
      <color rgb="FFE67E22"/>
      <name val="Arial"/>
      <charset val="1"/>
    </font>
    <font>
      <b/>
      <sz val="10"/>
      <color rgb="FFFFFFFF"/>
      <name val="Arial"/>
      <charset val="1"/>
    </font>
    <font>
      <b/>
      <sz val="24"/>
      <color rgb="FFE74C3C"/>
      <name val="Arial"/>
      <charset val="1"/>
    </font>
    <font>
      <b/>
      <sz val="24"/>
      <color rgb="FFE67E22"/>
      <name val="Arial"/>
      <charset val="1"/>
    </font>
    <font>
      <b/>
      <sz val="24"/>
      <color rgb="FF27AE60"/>
      <name val="Arial"/>
      <charset val="1"/>
    </font>
    <font>
      <b/>
      <sz val="10"/>
      <color rgb="FF27AE60"/>
      <name val="Arial"/>
      <charset val="1"/>
    </font>
    <font>
      <sz val="10"/>
      <name val="Arial"/>
      <charset val="1"/>
    </font>
    <font>
      <b/>
      <sz val="10"/>
      <color rgb="FFF4A261"/>
      <name val="Arial"/>
      <charset val="1"/>
    </font>
    <font>
      <b/>
      <sz val="10"/>
      <color rgb="FF2196F3"/>
      <name val="Arial"/>
      <charset val="1"/>
    </font>
    <font>
      <b/>
      <sz val="10"/>
      <color rgb="FFE76F51"/>
      <name val="Arial"/>
      <charset val="1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F4B942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1B2A4A"/>
        <bgColor rgb="FF243654"/>
      </patternFill>
    </fill>
    <fill>
      <patternFill patternType="solid">
        <fgColor rgb="FF27AE60"/>
        <bgColor rgb="FF2ECC71"/>
      </patternFill>
    </fill>
    <fill>
      <patternFill patternType="solid">
        <fgColor rgb="FF2196F3"/>
        <bgColor rgb="FF3498DB"/>
      </patternFill>
    </fill>
    <fill>
      <patternFill patternType="solid">
        <fgColor rgb="FFE74C3C"/>
        <bgColor rgb="FFE76F51"/>
      </patternFill>
    </fill>
    <fill>
      <patternFill patternType="solid">
        <fgColor rgb="FF8E44AD"/>
        <bgColor rgb="FF878787"/>
      </patternFill>
    </fill>
    <fill>
      <patternFill patternType="solid">
        <fgColor rgb="FFE67E22"/>
        <bgColor rgb="FFE76F51"/>
      </patternFill>
    </fill>
    <fill>
      <patternFill patternType="solid">
        <fgColor rgb="FF2C3E50"/>
        <bgColor rgb="FF243654"/>
      </patternFill>
    </fill>
    <fill>
      <patternFill patternType="solid">
        <fgColor rgb="FF0D7377"/>
        <bgColor rgb="FF0066CC"/>
      </patternFill>
    </fill>
    <fill>
      <patternFill patternType="solid">
        <fgColor rgb="FFF8F9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BF5FB"/>
        <bgColor rgb="FFF8F9FA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center" vertical="center"/>
    </xf>
    <xf numFmtId="0" fontId="20" fillId="20" borderId="2" xfId="0" applyFont="1" applyFill="1" applyBorder="1" applyAlignment="1">
      <alignment horizontal="center" vertical="center"/>
    </xf>
    <xf numFmtId="0" fontId="24" fillId="23" borderId="2" xfId="0" applyFont="1" applyFill="1" applyBorder="1" applyAlignment="1">
      <alignment horizontal="left" vertical="center"/>
    </xf>
    <xf numFmtId="0" fontId="25" fillId="23" borderId="2" xfId="0" applyFont="1" applyFill="1" applyBorder="1" applyAlignment="1">
      <alignment horizontal="center" vertical="center"/>
    </xf>
    <xf numFmtId="164" fontId="25" fillId="23" borderId="2" xfId="0" applyNumberFormat="1" applyFont="1" applyFill="1" applyBorder="1" applyAlignment="1">
      <alignment horizontal="center" vertical="center"/>
    </xf>
    <xf numFmtId="0" fontId="26" fillId="24" borderId="2" xfId="0" applyFont="1" applyFill="1" applyBorder="1" applyAlignment="1">
      <alignment horizontal="left" vertical="center"/>
    </xf>
    <xf numFmtId="0" fontId="25" fillId="24" borderId="2" xfId="0" applyFont="1" applyFill="1" applyBorder="1" applyAlignment="1">
      <alignment horizontal="center" vertical="center"/>
    </xf>
    <xf numFmtId="164" fontId="25" fillId="24" borderId="2" xfId="0" applyNumberFormat="1" applyFont="1" applyFill="1" applyBorder="1" applyAlignment="1">
      <alignment horizontal="center" vertical="center"/>
    </xf>
    <xf numFmtId="0" fontId="27" fillId="23" borderId="2" xfId="0" applyFont="1" applyFill="1" applyBorder="1" applyAlignment="1">
      <alignment horizontal="left" vertical="center"/>
    </xf>
    <xf numFmtId="0" fontId="28" fillId="24" borderId="2" xfId="0" applyFont="1" applyFill="1" applyBorder="1" applyAlignment="1">
      <alignment horizontal="left" vertical="center"/>
    </xf>
    <xf numFmtId="0" fontId="20" fillId="17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13" fillId="21" borderId="0" xfId="0" applyFont="1" applyFill="1" applyBorder="1" applyAlignment="1">
      <alignment horizontal="left" vertical="center"/>
    </xf>
    <xf numFmtId="0" fontId="20" fillId="17" borderId="5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0" fillId="0" borderId="0" xfId="0"/>
    <xf numFmtId="0" fontId="29" fillId="20" borderId="2" xfId="0" applyFont="1" applyFill="1" applyBorder="1" applyAlignment="1">
      <alignment horizontal="center" vertical="center"/>
    </xf>
    <xf numFmtId="0" fontId="0" fillId="25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0" fillId="8" borderId="0" xfId="0" applyFill="1"/>
    <xf numFmtId="0" fontId="7" fillId="10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1" fillId="5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7" borderId="0" xfId="0" applyFill="1"/>
    <xf numFmtId="0" fontId="8" fillId="2" borderId="0" xfId="0" applyFont="1" applyFill="1" applyAlignment="1">
      <alignment horizontal="center" vertical="center" wrapText="1"/>
    </xf>
    <xf numFmtId="0" fontId="21" fillId="22" borderId="3" xfId="0" applyFont="1" applyFill="1" applyBorder="1" applyAlignment="1">
      <alignment horizontal="center" vertical="center"/>
    </xf>
    <xf numFmtId="0" fontId="22" fillId="22" borderId="3" xfId="0" applyFont="1" applyFill="1" applyBorder="1" applyAlignment="1">
      <alignment horizontal="center" vertical="center"/>
    </xf>
    <xf numFmtId="0" fontId="23" fillId="22" borderId="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900" b="1" strike="noStrike" spc="-1">
                <a:solidFill>
                  <a:srgbClr val="000000"/>
                </a:solidFill>
                <a:latin typeface="Calibri"/>
              </a:rPr>
              <a:t>Orders &amp; Deliveries by Category</a:t>
            </a:r>
          </a:p>
        </c:rich>
      </c:tx>
      <c:layout>
        <c:manualLayout>
          <c:xMode val="edge"/>
          <c:yMode val="edge"/>
          <c:x val="0.15837382827146609"/>
          <c:y val="3.6460775736366295E-2"/>
        </c:manualLayout>
      </c:layout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0.25523465069258677"/>
          <c:y val="0.17898489355497235"/>
          <c:w val="0.45243602362204732"/>
          <c:h val="0.4766469524642753"/>
        </c:manualLayout>
      </c:layout>
      <c:barChart>
        <c:barDir val="col"/>
        <c:grouping val="clustered"/>
        <c:ser>
          <c:idx val="1"/>
          <c:order val="0"/>
          <c:tx>
            <c:strRef>
              <c:f>[1]ChartData!$F$1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[1]ChartData!$D$2:$D$6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[1]ChartData!$F$2:$F$6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</c:ser>
        <c:axId val="92511616"/>
        <c:axId val="138391936"/>
      </c:barChart>
      <c:catAx>
        <c:axId val="925116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391936"/>
        <c:crosses val="autoZero"/>
        <c:auto val="1"/>
        <c:lblAlgn val="ctr"/>
        <c:lblOffset val="100"/>
      </c:catAx>
      <c:valAx>
        <c:axId val="13839193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116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280358240323237"/>
          <c:y val="0.50563592884222797"/>
          <c:w val="0.26066671971942135"/>
          <c:h val="0.49436407115777203"/>
        </c:manualLayout>
      </c:layout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Stock Level Distribution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[1]ChartData!$J$1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5.2812632969097356E-2"/>
                  <c:y val="0.18617165505430697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layout>
                <c:manualLayout>
                  <c:x val="-0.43965070066438211"/>
                  <c:y val="-3.1831534808858847E-3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layout>
                <c:manualLayout>
                  <c:x val="0"/>
                  <c:y val="-7.3560154215013031E-3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[1]ChartData!$I$2:$I$4</c:f>
              <c:strCache>
                <c:ptCount val="3"/>
                <c:pt idx="0">
                  <c:v>Low Stock</c:v>
                </c:pt>
                <c:pt idx="1">
                  <c:v>Optimal</c:v>
                </c:pt>
                <c:pt idx="2">
                  <c:v>Overstocked</c:v>
                </c:pt>
              </c:strCache>
            </c:strRef>
          </c:cat>
          <c:val>
            <c:numRef>
              <c:f>[1]ChartData!$J$2:$J$4</c:f>
              <c:numCache>
                <c:formatCode>General</c:formatCode>
                <c:ptCount val="3"/>
                <c:pt idx="0">
                  <c:v>17</c:v>
                </c:pt>
                <c:pt idx="1">
                  <c:v>45</c:v>
                </c:pt>
                <c:pt idx="2">
                  <c:v>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258625225330226"/>
          <c:y val="0.62707057917605868"/>
          <c:w val="0.30050654053471892"/>
          <c:h val="0.27693593158647345"/>
        </c:manualLayout>
      </c:layout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Order Trend</a:t>
            </a:r>
          </a:p>
        </c:rich>
      </c:tx>
      <c:layout>
        <c:manualLayout>
          <c:xMode val="edge"/>
          <c:yMode val="edge"/>
          <c:x val="0.1265483243231974"/>
          <c:y val="4.1116024889763743E-2"/>
        </c:manualLayout>
      </c:layout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[1]ChartData!$M$1</c:f>
              <c:strCache>
                <c:ptCount val="1"/>
                <c:pt idx="0">
                  <c:v>Orders</c:v>
                </c:pt>
              </c:strCache>
            </c:strRef>
          </c:tx>
          <c:spPr>
            <a:ln w="28080">
              <a:solidFill>
                <a:srgbClr val="2196F3"/>
              </a:solidFill>
              <a:round/>
            </a:ln>
          </c:spPr>
          <c:marker>
            <c:symbol val="none"/>
          </c:marker>
          <c:cat>
            <c:strRef>
              <c:f>[1]ChartData!$L$2:$L$4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[1]ChartData!$M$2:$M$4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[1]ChartData!$N$1</c:f>
              <c:strCache>
                <c:ptCount val="1"/>
                <c:pt idx="0">
                  <c:v>Delivered</c:v>
                </c:pt>
              </c:strCache>
            </c:strRef>
          </c:tx>
          <c:spPr>
            <a:ln w="28080">
              <a:solidFill>
                <a:srgbClr val="27AE60"/>
              </a:solidFill>
              <a:round/>
            </a:ln>
          </c:spPr>
          <c:marker>
            <c:symbol val="none"/>
          </c:marker>
          <c:cat>
            <c:strRef>
              <c:f>[1]ChartData!$L$2:$L$4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[1]ChartData!$N$2:$N$4</c:f>
              <c:numCache>
                <c:formatCode>General</c:formatCode>
                <c:ptCount val="3"/>
                <c:pt idx="0">
                  <c:v>19</c:v>
                </c:pt>
                <c:pt idx="1">
                  <c:v>19</c:v>
                </c:pt>
                <c:pt idx="2">
                  <c:v>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8414464"/>
        <c:axId val="88416256"/>
      </c:lineChart>
      <c:catAx>
        <c:axId val="884144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16256"/>
        <c:crosses val="autoZero"/>
        <c:auto val="1"/>
        <c:lblAlgn val="ctr"/>
        <c:lblOffset val="100"/>
      </c:catAx>
      <c:valAx>
        <c:axId val="8841625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14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0129948787609588"/>
          <c:y val="0.6962090007557209"/>
          <c:w val="0.32649831869328061"/>
          <c:h val="0.26529132253000909"/>
        </c:manualLayout>
      </c:layout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 algn="ctr"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Calibri"/>
              </a:rPr>
              <a:t>Avg Delivery Days by Category</a:t>
            </a:r>
          </a:p>
        </c:rich>
      </c:tx>
      <c:layout>
        <c:manualLayout>
          <c:xMode val="edge"/>
          <c:yMode val="edge"/>
          <c:x val="0.2824553857973266"/>
          <c:y val="4.7857507161942377E-2"/>
        </c:manualLayout>
      </c:layout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0.20254905947602381"/>
          <c:y val="0.19900858983536157"/>
          <c:w val="0.65546612689629746"/>
          <c:h val="0.4277543148015589"/>
        </c:manualLayout>
      </c:layout>
      <c:barChart>
        <c:barDir val="col"/>
        <c:grouping val="clustered"/>
        <c:ser>
          <c:idx val="0"/>
          <c:order val="0"/>
          <c:tx>
            <c:strRef>
              <c:f>[1]ChartData!$Q$1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[1]ChartData!$P$2:$P$6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[1]ChartData!$Q$2:$Q$6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7.1</c:v>
                </c:pt>
                <c:pt idx="2">
                  <c:v>9.9</c:v>
                </c:pt>
                <c:pt idx="3">
                  <c:v>8.6999999999999993</c:v>
                </c:pt>
                <c:pt idx="4">
                  <c:v>8.6</c:v>
                </c:pt>
              </c:numCache>
            </c:numRef>
          </c:val>
        </c:ser>
        <c:axId val="88440832"/>
        <c:axId val="88442368"/>
      </c:barChart>
      <c:catAx>
        <c:axId val="8844083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42368"/>
        <c:crosses val="autoZero"/>
        <c:auto val="1"/>
        <c:lblAlgn val="ctr"/>
        <c:lblOffset val="100"/>
      </c:catAx>
      <c:valAx>
        <c:axId val="8844236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40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532829811651549"/>
          <c:y val="0.82585659747077089"/>
          <c:w val="0.32565752148838939"/>
          <c:h val="0.14225165036188658"/>
        </c:manualLayout>
      </c:layout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Total Sales Value by Category (₹)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8420095375402027"/>
          <c:y val="0.2085236618150004"/>
          <c:w val="0.53929251923094368"/>
          <c:h val="0.49714138333864366"/>
        </c:manualLayout>
      </c:layout>
      <c:barChart>
        <c:barDir val="bar"/>
        <c:grouping val="clustered"/>
        <c:ser>
          <c:idx val="0"/>
          <c:order val="0"/>
          <c:tx>
            <c:strRef>
              <c:f>[2]Chart_Data!$G$1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7C3AED"/>
            </a:solidFill>
            <a:ln>
              <a:prstDash val="solid"/>
            </a:ln>
          </c:spPr>
          <c:cat>
            <c:strRef>
              <c:f>[2]Chart_Data!$A$2:$A$6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Books</c:v>
                </c:pt>
                <c:pt idx="4">
                  <c:v>Sports</c:v>
                </c:pt>
              </c:strCache>
            </c:strRef>
          </c:cat>
          <c:val>
            <c:numRef>
              <c:f>[2]Chart_Data!$G$2:$G$6</c:f>
              <c:numCache>
                <c:formatCode>General</c:formatCode>
                <c:ptCount val="5"/>
                <c:pt idx="0">
                  <c:v>226400.15000000002</c:v>
                </c:pt>
                <c:pt idx="1">
                  <c:v>204659.15999999997</c:v>
                </c:pt>
                <c:pt idx="2">
                  <c:v>264996.69</c:v>
                </c:pt>
                <c:pt idx="3">
                  <c:v>246262.57999999996</c:v>
                </c:pt>
                <c:pt idx="4">
                  <c:v>243559.56000000003</c:v>
                </c:pt>
              </c:numCache>
            </c:numRef>
          </c:val>
        </c:ser>
        <c:axId val="88462848"/>
        <c:axId val="88464768"/>
      </c:barChart>
      <c:catAx>
        <c:axId val="8846284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sz="800"/>
                  <a:t>Sales (₹)</a:t>
                </a:r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8464768"/>
        <c:crosses val="autoZero"/>
        <c:lblAlgn val="ctr"/>
        <c:lblOffset val="100"/>
      </c:catAx>
      <c:valAx>
        <c:axId val="88464768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sz="800"/>
                  <a:t>Category</a:t>
                </a:r>
              </a:p>
            </c:rich>
          </c:tx>
          <c:layout>
            <c:manualLayout>
              <c:xMode val="edge"/>
              <c:yMode val="edge"/>
              <c:x val="0.47136187201951885"/>
              <c:y val="0.84697876401813432"/>
            </c:manualLayout>
          </c:layout>
        </c:title>
        <c:numFmt formatCode="General" sourceLinked="1"/>
        <c:majorTickMark val="none"/>
        <c:tickLblPos val="nextTo"/>
        <c:crossAx val="88462848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</c:spPr>
    </c:plotArea>
    <c:legend>
      <c:legendPos val="b"/>
      <c:layout>
        <c:manualLayout>
          <c:xMode val="edge"/>
          <c:yMode val="edge"/>
          <c:x val="4.0076522124875232E-2"/>
          <c:y val="0.80539059890240972"/>
          <c:w val="0.20153709659532007"/>
          <c:h val="0.1461245526127416"/>
        </c:manualLayout>
      </c:layout>
    </c:legend>
    <c:plotVisOnly val="1"/>
    <c:dispBlanksAs val="gap"/>
  </c:chart>
  <c:spPr>
    <a:solidFill>
      <a:schemeClr val="accent1">
        <a:lumMod val="40000"/>
        <a:lumOff val="60000"/>
      </a:schemeClr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 Status Distribution</a:t>
            </a:r>
          </a:p>
        </c:rich>
      </c:tx>
      <c:layout/>
    </c:title>
    <c:plotArea>
      <c:layout/>
      <c:pieChart>
        <c:varyColors val="1"/>
        <c:firstSliceAng val="0"/>
      </c:pieChart>
      <c:spPr>
        <a:noFill/>
        <a:ln w="25400">
          <a:noFill/>
        </a:ln>
      </c:spPr>
    </c:plotArea>
    <c:legend>
      <c:legendPos val="b"/>
      <c:layout/>
    </c:legend>
    <c:plotVisOnly val="1"/>
    <c:dispBlanksAs val="zero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 Status Breakdown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915425380744608"/>
          <c:y val="0.29846705870626933"/>
          <c:w val="0.62265242322416714"/>
          <c:h val="0.3821739371186198"/>
        </c:manualLayout>
      </c:layout>
      <c:barChart>
        <c:barDir val="col"/>
        <c:grouping val="clustered"/>
        <c:ser>
          <c:idx val="0"/>
          <c:order val="0"/>
          <c:tx>
            <c:strRef>
              <c:f>[3]ChartData!$H$1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897B"/>
            </a:solidFill>
            <a:ln>
              <a:solidFill>
                <a:srgbClr val="00897B"/>
              </a:solidFill>
              <a:prstDash val="solid"/>
            </a:ln>
          </c:spPr>
          <c:cat>
            <c:strRef>
              <c:f>[3]ChartData!$G$2:$G$5</c:f>
              <c:strCache>
                <c:ptCount val="4"/>
                <c:pt idx="0">
                  <c:v>Delivered</c:v>
                </c:pt>
                <c:pt idx="1">
                  <c:v>Pending</c:v>
                </c:pt>
                <c:pt idx="2">
                  <c:v>In Transit</c:v>
                </c:pt>
                <c:pt idx="3">
                  <c:v>Cancelled</c:v>
                </c:pt>
              </c:strCache>
            </c:strRef>
          </c:cat>
          <c:val>
            <c:numRef>
              <c:f>[3]ChartData!$H$2:$H$5</c:f>
              <c:numCache>
                <c:formatCode>General</c:formatCode>
                <c:ptCount val="4"/>
                <c:pt idx="0">
                  <c:v>54</c:v>
                </c:pt>
                <c:pt idx="1">
                  <c:v>21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</c:ser>
        <c:axId val="88579456"/>
        <c:axId val="88581248"/>
      </c:barChart>
      <c:catAx>
        <c:axId val="88579456"/>
        <c:scaling>
          <c:orientation val="minMax"/>
        </c:scaling>
        <c:axPos val="b"/>
        <c:majorTickMark val="none"/>
        <c:tickLblPos val="nextTo"/>
        <c:crossAx val="88581248"/>
        <c:crosses val="autoZero"/>
        <c:lblAlgn val="ctr"/>
        <c:lblOffset val="100"/>
      </c:catAx>
      <c:valAx>
        <c:axId val="885812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88579456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</c:spPr>
    </c:plotArea>
    <c:legend>
      <c:legendPos val="r"/>
      <c:layout/>
    </c:legend>
    <c:plotVisOnly val="1"/>
    <c:dispBlanksAs val="gap"/>
  </c:chart>
  <c:spPr>
    <a:solidFill>
      <a:schemeClr val="accent1">
        <a:lumMod val="40000"/>
        <a:lumOff val="60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Stock Quantity by Product</a:t>
            </a:r>
          </a:p>
        </c:rich>
      </c:tx>
      <c:layout>
        <c:manualLayout>
          <c:xMode val="edge"/>
          <c:yMode val="edge"/>
          <c:x val="0.19426237364074866"/>
          <c:y val="1.32890365448505E-2"/>
        </c:manualLayout>
      </c:layout>
    </c:title>
    <c:plotArea>
      <c:layout>
        <c:manualLayout>
          <c:layoutTarget val="inner"/>
          <c:xMode val="edge"/>
          <c:yMode val="edge"/>
          <c:x val="0.35106234320551766"/>
          <c:y val="8.3503766574632751E-2"/>
          <c:w val="0.71363688271604941"/>
          <c:h val="0.79753144493301964"/>
        </c:manualLayout>
      </c:layout>
      <c:barChart>
        <c:barDir val="bar"/>
        <c:grouping val="clustered"/>
        <c:ser>
          <c:idx val="0"/>
          <c:order val="0"/>
          <c:tx>
            <c:strRef>
              <c:f>[3]ChartData!$B$10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c:spPr>
          <c:cat>
            <c:strRef>
              <c:f>[3]ChartData!$A$11:$A$25</c:f>
              <c:strCache>
                <c:ptCount val="15"/>
                <c:pt idx="0">
                  <c:v>Desk</c:v>
                </c:pt>
                <c:pt idx="1">
                  <c:v>Laptop</c:v>
                </c:pt>
                <c:pt idx="2">
                  <c:v>Tablet</c:v>
                </c:pt>
                <c:pt idx="3">
                  <c:v>Chair</c:v>
                </c:pt>
                <c:pt idx="4">
                  <c:v>Yoga Mat</c:v>
                </c:pt>
                <c:pt idx="5">
                  <c:v>Jeans</c:v>
                </c:pt>
                <c:pt idx="6">
                  <c:v>T-Shirt</c:v>
                </c:pt>
                <c:pt idx="7">
                  <c:v>Sofa</c:v>
                </c:pt>
                <c:pt idx="8">
                  <c:v>Smartphone</c:v>
                </c:pt>
                <c:pt idx="9">
                  <c:v>Dumbbell</c:v>
                </c:pt>
                <c:pt idx="10">
                  <c:v>Running Shoes</c:v>
                </c:pt>
                <c:pt idx="11">
                  <c:v>Jacket</c:v>
                </c:pt>
                <c:pt idx="12">
                  <c:v>Python Guide</c:v>
                </c:pt>
                <c:pt idx="13">
                  <c:v>Headphones</c:v>
                </c:pt>
                <c:pt idx="14">
                  <c:v>Data Science</c:v>
                </c:pt>
              </c:strCache>
            </c:strRef>
          </c:cat>
          <c:val>
            <c:numRef>
              <c:f>[3]ChartData!$B$11:$B$25</c:f>
              <c:numCache>
                <c:formatCode>General</c:formatCode>
                <c:ptCount val="15"/>
                <c:pt idx="0">
                  <c:v>937</c:v>
                </c:pt>
                <c:pt idx="1">
                  <c:v>784</c:v>
                </c:pt>
                <c:pt idx="2">
                  <c:v>768</c:v>
                </c:pt>
                <c:pt idx="3">
                  <c:v>764</c:v>
                </c:pt>
                <c:pt idx="4">
                  <c:v>708</c:v>
                </c:pt>
                <c:pt idx="5">
                  <c:v>698</c:v>
                </c:pt>
                <c:pt idx="6">
                  <c:v>650</c:v>
                </c:pt>
                <c:pt idx="7">
                  <c:v>649</c:v>
                </c:pt>
                <c:pt idx="8">
                  <c:v>637</c:v>
                </c:pt>
                <c:pt idx="9">
                  <c:v>532</c:v>
                </c:pt>
                <c:pt idx="10">
                  <c:v>523</c:v>
                </c:pt>
                <c:pt idx="11">
                  <c:v>504</c:v>
                </c:pt>
                <c:pt idx="12">
                  <c:v>455</c:v>
                </c:pt>
                <c:pt idx="13">
                  <c:v>382</c:v>
                </c:pt>
                <c:pt idx="14">
                  <c:v>299</c:v>
                </c:pt>
              </c:numCache>
            </c:numRef>
          </c:val>
        </c:ser>
        <c:axId val="88625536"/>
        <c:axId val="88627072"/>
      </c:barChart>
      <c:catAx>
        <c:axId val="88625536"/>
        <c:scaling>
          <c:orientation val="minMax"/>
        </c:scaling>
        <c:axPos val="l"/>
        <c:majorTickMark val="none"/>
        <c:tickLblPos val="nextTo"/>
        <c:crossAx val="88627072"/>
        <c:crosses val="autoZero"/>
        <c:lblAlgn val="ctr"/>
        <c:lblOffset val="100"/>
      </c:catAx>
      <c:valAx>
        <c:axId val="8862707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88625536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</c:spPr>
    </c:plotArea>
    <c:legend>
      <c:legendPos val="r"/>
      <c:layout>
        <c:manualLayout>
          <c:xMode val="edge"/>
          <c:yMode val="edge"/>
          <c:x val="3.5456931519923601E-2"/>
          <c:y val="0.91550899522784257"/>
          <c:w val="0.19686630080330869"/>
          <c:h val="6.4123824237399971E-2"/>
        </c:manualLayout>
      </c:layout>
    </c:legend>
    <c:plotVisOnly val="1"/>
    <c:dispBlanksAs val="gap"/>
  </c:chart>
  <c:spPr>
    <a:solidFill>
      <a:schemeClr val="accent1">
        <a:lumMod val="40000"/>
        <a:lumOff val="60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866776</xdr:colOff>
      <xdr:row>10</xdr:row>
      <xdr:rowOff>180975</xdr:rowOff>
    </xdr:from>
    <xdr:to>
      <xdr:col>6</xdr:col>
      <xdr:colOff>0</xdr:colOff>
      <xdr:row>22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0</xdr:row>
      <xdr:rowOff>9524</xdr:rowOff>
    </xdr:from>
    <xdr:to>
      <xdr:col>20</xdr:col>
      <xdr:colOff>523875</xdr:colOff>
      <xdr:row>9</xdr:row>
      <xdr:rowOff>257175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400050</xdr:colOff>
      <xdr:row>0</xdr:row>
      <xdr:rowOff>0</xdr:rowOff>
    </xdr:from>
    <xdr:to>
      <xdr:col>24</xdr:col>
      <xdr:colOff>561976</xdr:colOff>
      <xdr:row>9</xdr:row>
      <xdr:rowOff>247649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364549</xdr:colOff>
      <xdr:row>9</xdr:row>
      <xdr:rowOff>171450</xdr:rowOff>
    </xdr:from>
    <xdr:to>
      <xdr:col>24</xdr:col>
      <xdr:colOff>552451</xdr:colOff>
      <xdr:row>21</xdr:row>
      <xdr:rowOff>66675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24</xdr:col>
      <xdr:colOff>514350</xdr:colOff>
      <xdr:row>13</xdr:row>
      <xdr:rowOff>57150</xdr:rowOff>
    </xdr:from>
    <xdr:ext cx="2800350" cy="1590674"/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66</xdr:col>
      <xdr:colOff>571500</xdr:colOff>
      <xdr:row>23</xdr:row>
      <xdr:rowOff>114300</xdr:rowOff>
    </xdr:from>
    <xdr:ext cx="5040000" cy="4680000"/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9</xdr:row>
      <xdr:rowOff>266700</xdr:rowOff>
    </xdr:from>
    <xdr:ext cx="2857500" cy="2257425"/>
    <xdr:graphicFrame macro="">
      <xdr:nvGraphicFramePr>
        <xdr:cNvPr id="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24</xdr:col>
      <xdr:colOff>514349</xdr:colOff>
      <xdr:row>0</xdr:row>
      <xdr:rowOff>0</xdr:rowOff>
    </xdr:from>
    <xdr:ext cx="2790825" cy="2933700"/>
    <xdr:graphicFrame macro="">
      <xdr:nvGraphicFramePr>
        <xdr:cNvPr id="1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HI%20LAPTOP/AppData/Local/Packages/5319275A.WhatsAppDesktop_cv1g1gvanyjgm/LocalState/sessions/6C4EBDB58D95CDC90B97A5B5AEB5ECECB85B151A/transfers/2026-15/Smart_Inventory_Dashboard_Rebuilt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HI%20LAPTOP/AppData/Local/Packages/5319275A.WhatsAppDesktop_cv1g1gvanyjgm/LocalState/sessions/6C4EBDB58D95CDC90B97A5B5AEB5ECECB85B151A/transfers/2026-15/Smart_Inventory_Dashboard_v2_BhumikaRawat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HI%20LAPTOP/AppData/Local/Packages/5319275A.WhatsAppDesktop_cv1g1gvanyjgm/LocalState/sessions/6C4EBDB58D95CDC90B97A5B5AEB5ECECB85B151A/transfers/2026-15/Smart_Inventory_Dashboard_Bhumika2026-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ChartData"/>
      <sheetName val="Summary"/>
      <sheetName val="Pivot_Analysis"/>
      <sheetName val="Inventory_Data"/>
      <sheetName val="Stock_Monitor"/>
      <sheetName val="Delivery_Tracker"/>
    </sheetNames>
    <sheetDataSet>
      <sheetData sheetId="0" refreshError="1"/>
      <sheetData sheetId="1">
        <row r="1">
          <cell r="B1" t="str">
            <v>Count</v>
          </cell>
          <cell r="F1" t="str">
            <v>Delivered</v>
          </cell>
          <cell r="J1" t="str">
            <v>Count</v>
          </cell>
          <cell r="M1" t="str">
            <v>Orders</v>
          </cell>
          <cell r="N1" t="str">
            <v>Delivered</v>
          </cell>
          <cell r="Q1" t="str">
            <v>Avg Delivery Days</v>
          </cell>
        </row>
        <row r="2">
          <cell r="D2" t="str">
            <v>Electronics</v>
          </cell>
          <cell r="F2">
            <v>10</v>
          </cell>
          <cell r="I2" t="str">
            <v>Low Stock</v>
          </cell>
          <cell r="J2">
            <v>17</v>
          </cell>
          <cell r="L2" t="str">
            <v>2026-01</v>
          </cell>
          <cell r="M2">
            <v>30</v>
          </cell>
          <cell r="N2">
            <v>19</v>
          </cell>
          <cell r="P2" t="str">
            <v>Electronics</v>
          </cell>
          <cell r="Q2">
            <v>8.1999999999999993</v>
          </cell>
        </row>
        <row r="3">
          <cell r="D3" t="str">
            <v>Furniture</v>
          </cell>
          <cell r="F3">
            <v>14</v>
          </cell>
          <cell r="I3" t="str">
            <v>Optimal</v>
          </cell>
          <cell r="J3">
            <v>45</v>
          </cell>
          <cell r="L3" t="str">
            <v>2026-02</v>
          </cell>
          <cell r="M3">
            <v>30</v>
          </cell>
          <cell r="N3">
            <v>19</v>
          </cell>
          <cell r="P3" t="str">
            <v>Furniture</v>
          </cell>
          <cell r="Q3">
            <v>7.1</v>
          </cell>
        </row>
        <row r="4">
          <cell r="D4" t="str">
            <v>Clothing</v>
          </cell>
          <cell r="F4">
            <v>10</v>
          </cell>
          <cell r="I4" t="str">
            <v>Overstocked</v>
          </cell>
          <cell r="J4">
            <v>28</v>
          </cell>
          <cell r="L4" t="str">
            <v>2026-03</v>
          </cell>
          <cell r="M4">
            <v>30</v>
          </cell>
          <cell r="N4">
            <v>16</v>
          </cell>
          <cell r="P4" t="str">
            <v>Clothing</v>
          </cell>
          <cell r="Q4">
            <v>9.9</v>
          </cell>
        </row>
        <row r="5">
          <cell r="D5" t="str">
            <v>Sports</v>
          </cell>
          <cell r="F5">
            <v>10</v>
          </cell>
          <cell r="P5" t="str">
            <v>Sports</v>
          </cell>
          <cell r="Q5">
            <v>8.6999999999999993</v>
          </cell>
        </row>
        <row r="6">
          <cell r="D6" t="str">
            <v>Books</v>
          </cell>
          <cell r="F6">
            <v>10</v>
          </cell>
          <cell r="P6" t="str">
            <v>Books</v>
          </cell>
          <cell r="Q6">
            <v>8.6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aw_Data"/>
      <sheetName val="Chart_Data"/>
      <sheetName val="DASHBOARD"/>
      <sheetName val="Pivot_Analysis"/>
      <sheetName val="Stock_Monitor"/>
      <sheetName val="Delivery_Tracker"/>
    </sheetNames>
    <sheetDataSet>
      <sheetData sheetId="0" refreshError="1"/>
      <sheetData sheetId="1">
        <row r="1">
          <cell r="G1" t="str">
            <v>Sales (₹)</v>
          </cell>
        </row>
        <row r="2">
          <cell r="A2" t="str">
            <v>Electronics</v>
          </cell>
          <cell r="G2">
            <v>226400.15000000002</v>
          </cell>
        </row>
        <row r="3">
          <cell r="A3" t="str">
            <v>Clothing</v>
          </cell>
          <cell r="G3">
            <v>204659.15999999997</v>
          </cell>
        </row>
        <row r="4">
          <cell r="A4" t="str">
            <v>Furniture</v>
          </cell>
          <cell r="G4">
            <v>264996.69</v>
          </cell>
        </row>
        <row r="5">
          <cell r="A5" t="str">
            <v>Books</v>
          </cell>
          <cell r="G5">
            <v>246262.57999999996</v>
          </cell>
        </row>
        <row r="6">
          <cell r="A6" t="str">
            <v>Sports</v>
          </cell>
          <cell r="G6">
            <v>243559.56000000003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Data"/>
      <sheetName val="ChartData"/>
      <sheetName val="Stock_Monitor"/>
    </sheetNames>
    <sheetDataSet>
      <sheetData sheetId="0"/>
      <sheetData sheetId="1"/>
      <sheetData sheetId="2">
        <row r="1">
          <cell r="H1" t="str">
            <v>Count</v>
          </cell>
        </row>
        <row r="2">
          <cell r="G2" t="str">
            <v>Delivered</v>
          </cell>
          <cell r="H2">
            <v>54</v>
          </cell>
        </row>
        <row r="3">
          <cell r="G3" t="str">
            <v>Pending</v>
          </cell>
          <cell r="H3">
            <v>21</v>
          </cell>
        </row>
        <row r="4">
          <cell r="G4" t="str">
            <v>In Transit</v>
          </cell>
          <cell r="H4">
            <v>11</v>
          </cell>
        </row>
        <row r="5">
          <cell r="G5" t="str">
            <v>Cancelled</v>
          </cell>
          <cell r="H5">
            <v>4</v>
          </cell>
        </row>
        <row r="10">
          <cell r="B10" t="str">
            <v>Stock</v>
          </cell>
        </row>
        <row r="11">
          <cell r="A11" t="str">
            <v>Desk</v>
          </cell>
          <cell r="B11">
            <v>937</v>
          </cell>
        </row>
        <row r="12">
          <cell r="A12" t="str">
            <v>Laptop</v>
          </cell>
          <cell r="B12">
            <v>784</v>
          </cell>
        </row>
        <row r="13">
          <cell r="A13" t="str">
            <v>Tablet</v>
          </cell>
          <cell r="B13">
            <v>768</v>
          </cell>
        </row>
        <row r="14">
          <cell r="A14" t="str">
            <v>Chair</v>
          </cell>
          <cell r="B14">
            <v>764</v>
          </cell>
        </row>
        <row r="15">
          <cell r="A15" t="str">
            <v>Yoga Mat</v>
          </cell>
          <cell r="B15">
            <v>708</v>
          </cell>
        </row>
        <row r="16">
          <cell r="A16" t="str">
            <v>Jeans</v>
          </cell>
          <cell r="B16">
            <v>698</v>
          </cell>
        </row>
        <row r="17">
          <cell r="A17" t="str">
            <v>T-Shirt</v>
          </cell>
          <cell r="B17">
            <v>650</v>
          </cell>
        </row>
        <row r="18">
          <cell r="A18" t="str">
            <v>Sofa</v>
          </cell>
          <cell r="B18">
            <v>649</v>
          </cell>
        </row>
        <row r="19">
          <cell r="A19" t="str">
            <v>Smartphone</v>
          </cell>
          <cell r="B19">
            <v>637</v>
          </cell>
        </row>
        <row r="20">
          <cell r="A20" t="str">
            <v>Dumbbell</v>
          </cell>
          <cell r="B20">
            <v>532</v>
          </cell>
        </row>
        <row r="21">
          <cell r="A21" t="str">
            <v>Running Shoes</v>
          </cell>
          <cell r="B21">
            <v>523</v>
          </cell>
        </row>
        <row r="22">
          <cell r="A22" t="str">
            <v>Jacket</v>
          </cell>
          <cell r="B22">
            <v>504</v>
          </cell>
        </row>
        <row r="23">
          <cell r="A23" t="str">
            <v>Python Guide</v>
          </cell>
          <cell r="B23">
            <v>455</v>
          </cell>
        </row>
        <row r="24">
          <cell r="A24" t="str">
            <v>Headphones</v>
          </cell>
          <cell r="B24">
            <v>382</v>
          </cell>
        </row>
        <row r="25">
          <cell r="A25" t="str">
            <v>Data Science</v>
          </cell>
          <cell r="B25">
            <v>299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selection activeCell="D95" sqref="D95"/>
    </sheetView>
  </sheetViews>
  <sheetFormatPr defaultRowHeight="15"/>
  <cols>
    <col min="1" max="1" width="14" customWidth="1"/>
    <col min="2" max="2" width="18" customWidth="1"/>
    <col min="3" max="3" width="14" customWidth="1"/>
    <col min="4" max="4" width="17.28515625" customWidth="1"/>
    <col min="5" max="5" width="14.5703125" customWidth="1"/>
    <col min="6" max="6" width="16.28515625" customWidth="1"/>
    <col min="7" max="7" width="16.5703125" customWidth="1"/>
    <col min="8" max="8" width="16.7109375" customWidth="1"/>
    <col min="9" max="9" width="15.5703125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168</v>
      </c>
      <c r="E2" s="2" t="s">
        <v>12</v>
      </c>
      <c r="F2" s="2"/>
      <c r="G2" s="2" t="s">
        <v>13</v>
      </c>
      <c r="H2" s="2"/>
      <c r="I2" s="2" t="s">
        <v>14</v>
      </c>
    </row>
    <row r="3" spans="1:9">
      <c r="A3" s="3" t="s">
        <v>15</v>
      </c>
      <c r="B3" s="3" t="s">
        <v>16</v>
      </c>
      <c r="C3" s="3" t="s">
        <v>11</v>
      </c>
      <c r="D3" s="3">
        <v>67</v>
      </c>
      <c r="E3" s="3" t="s">
        <v>17</v>
      </c>
      <c r="F3" s="3"/>
      <c r="G3" s="3" t="s">
        <v>13</v>
      </c>
      <c r="H3" s="3"/>
      <c r="I3" s="3" t="s">
        <v>18</v>
      </c>
    </row>
    <row r="4" spans="1:9">
      <c r="A4" s="2" t="s">
        <v>19</v>
      </c>
      <c r="B4" s="2" t="s">
        <v>20</v>
      </c>
      <c r="C4" s="2" t="s">
        <v>11</v>
      </c>
      <c r="D4" s="2">
        <v>178</v>
      </c>
      <c r="E4" s="2" t="s">
        <v>21</v>
      </c>
      <c r="F4" s="2" t="s">
        <v>22</v>
      </c>
      <c r="G4" s="2" t="s">
        <v>23</v>
      </c>
      <c r="H4" s="2">
        <v>15</v>
      </c>
      <c r="I4" s="2" t="s">
        <v>14</v>
      </c>
    </row>
    <row r="5" spans="1:9">
      <c r="A5" s="3" t="s">
        <v>24</v>
      </c>
      <c r="B5" s="3" t="s">
        <v>25</v>
      </c>
      <c r="C5" s="3" t="s">
        <v>11</v>
      </c>
      <c r="D5" s="3">
        <v>13</v>
      </c>
      <c r="E5" s="3" t="s">
        <v>26</v>
      </c>
      <c r="F5" s="3" t="s">
        <v>27</v>
      </c>
      <c r="G5" s="3" t="s">
        <v>23</v>
      </c>
      <c r="H5" s="3">
        <v>2</v>
      </c>
      <c r="I5" s="3" t="s">
        <v>28</v>
      </c>
    </row>
    <row r="6" spans="1:9">
      <c r="A6" s="2" t="s">
        <v>29</v>
      </c>
      <c r="B6" s="2" t="s">
        <v>30</v>
      </c>
      <c r="C6" s="2" t="s">
        <v>31</v>
      </c>
      <c r="D6" s="2">
        <v>159</v>
      </c>
      <c r="E6" s="2" t="s">
        <v>26</v>
      </c>
      <c r="F6" s="2" t="s">
        <v>32</v>
      </c>
      <c r="G6" s="2" t="s">
        <v>23</v>
      </c>
      <c r="H6" s="2">
        <v>9</v>
      </c>
      <c r="I6" s="2" t="s">
        <v>14</v>
      </c>
    </row>
    <row r="7" spans="1:9">
      <c r="A7" s="3" t="s">
        <v>33</v>
      </c>
      <c r="B7" s="3" t="s">
        <v>34</v>
      </c>
      <c r="C7" s="3" t="s">
        <v>31</v>
      </c>
      <c r="D7" s="3">
        <v>184</v>
      </c>
      <c r="E7" s="3" t="s">
        <v>27</v>
      </c>
      <c r="F7" s="3" t="s">
        <v>22</v>
      </c>
      <c r="G7" s="3" t="s">
        <v>23</v>
      </c>
      <c r="H7" s="3">
        <v>7</v>
      </c>
      <c r="I7" s="3" t="s">
        <v>14</v>
      </c>
    </row>
    <row r="8" spans="1:9">
      <c r="A8" s="2" t="s">
        <v>35</v>
      </c>
      <c r="B8" s="2" t="s">
        <v>36</v>
      </c>
      <c r="C8" s="2" t="s">
        <v>31</v>
      </c>
      <c r="D8" s="2">
        <v>76</v>
      </c>
      <c r="E8" s="2" t="s">
        <v>37</v>
      </c>
      <c r="F8" s="2" t="s">
        <v>38</v>
      </c>
      <c r="G8" s="2" t="s">
        <v>23</v>
      </c>
      <c r="H8" s="2">
        <v>14</v>
      </c>
      <c r="I8" s="2" t="s">
        <v>18</v>
      </c>
    </row>
    <row r="9" spans="1:9">
      <c r="A9" s="3" t="s">
        <v>39</v>
      </c>
      <c r="B9" s="3" t="s">
        <v>40</v>
      </c>
      <c r="C9" s="3" t="s">
        <v>41</v>
      </c>
      <c r="D9" s="3">
        <v>183</v>
      </c>
      <c r="E9" s="3" t="s">
        <v>42</v>
      </c>
      <c r="F9" s="3" t="s">
        <v>27</v>
      </c>
      <c r="G9" s="3" t="s">
        <v>23</v>
      </c>
      <c r="H9" s="3">
        <v>6</v>
      </c>
      <c r="I9" s="3" t="s">
        <v>14</v>
      </c>
    </row>
    <row r="10" spans="1:9">
      <c r="A10" s="2" t="s">
        <v>43</v>
      </c>
      <c r="B10" s="2" t="s">
        <v>44</v>
      </c>
      <c r="C10" s="2" t="s">
        <v>41</v>
      </c>
      <c r="D10" s="2">
        <v>200</v>
      </c>
      <c r="E10" s="2" t="s">
        <v>45</v>
      </c>
      <c r="F10" s="2" t="s">
        <v>46</v>
      </c>
      <c r="G10" s="2" t="s">
        <v>23</v>
      </c>
      <c r="H10" s="2">
        <v>2</v>
      </c>
      <c r="I10" s="2" t="s">
        <v>14</v>
      </c>
    </row>
    <row r="11" spans="1:9">
      <c r="A11" s="3" t="s">
        <v>47</v>
      </c>
      <c r="B11" s="3" t="s">
        <v>48</v>
      </c>
      <c r="C11" s="3" t="s">
        <v>41</v>
      </c>
      <c r="D11" s="3">
        <v>96</v>
      </c>
      <c r="E11" s="3" t="s">
        <v>22</v>
      </c>
      <c r="F11" s="3"/>
      <c r="G11" s="3" t="s">
        <v>13</v>
      </c>
      <c r="H11" s="3"/>
      <c r="I11" s="3" t="s">
        <v>18</v>
      </c>
    </row>
    <row r="12" spans="1:9">
      <c r="A12" s="2" t="s">
        <v>49</v>
      </c>
      <c r="B12" s="2" t="s">
        <v>50</v>
      </c>
      <c r="C12" s="2" t="s">
        <v>51</v>
      </c>
      <c r="D12" s="2">
        <v>16</v>
      </c>
      <c r="E12" s="2" t="s">
        <v>21</v>
      </c>
      <c r="F12" s="2" t="s">
        <v>22</v>
      </c>
      <c r="G12" s="2" t="s">
        <v>23</v>
      </c>
      <c r="H12" s="2">
        <v>8</v>
      </c>
      <c r="I12" s="2" t="s">
        <v>28</v>
      </c>
    </row>
    <row r="13" spans="1:9">
      <c r="A13" s="3" t="s">
        <v>52</v>
      </c>
      <c r="B13" s="3" t="s">
        <v>53</v>
      </c>
      <c r="C13" s="3" t="s">
        <v>51</v>
      </c>
      <c r="D13" s="3">
        <v>25</v>
      </c>
      <c r="E13" s="3" t="s">
        <v>27</v>
      </c>
      <c r="F13" s="3"/>
      <c r="G13" s="3" t="s">
        <v>54</v>
      </c>
      <c r="H13" s="3"/>
      <c r="I13" s="3" t="s">
        <v>28</v>
      </c>
    </row>
    <row r="14" spans="1:9">
      <c r="A14" s="2" t="s">
        <v>55</v>
      </c>
      <c r="B14" s="2" t="s">
        <v>56</v>
      </c>
      <c r="C14" s="2" t="s">
        <v>57</v>
      </c>
      <c r="D14" s="2">
        <v>163</v>
      </c>
      <c r="E14" s="2" t="s">
        <v>22</v>
      </c>
      <c r="F14" s="2"/>
      <c r="G14" s="2" t="s">
        <v>13</v>
      </c>
      <c r="H14" s="2"/>
      <c r="I14" s="2" t="s">
        <v>14</v>
      </c>
    </row>
    <row r="15" spans="1:9">
      <c r="A15" s="3" t="s">
        <v>58</v>
      </c>
      <c r="B15" s="3" t="s">
        <v>59</v>
      </c>
      <c r="C15" s="3" t="s">
        <v>57</v>
      </c>
      <c r="D15" s="3">
        <v>185</v>
      </c>
      <c r="E15" s="3" t="s">
        <v>60</v>
      </c>
      <c r="F15" s="3"/>
      <c r="G15" s="3" t="s">
        <v>13</v>
      </c>
      <c r="H15" s="3"/>
      <c r="I15" s="3" t="s">
        <v>14</v>
      </c>
    </row>
    <row r="16" spans="1:9">
      <c r="A16" s="2" t="s">
        <v>61</v>
      </c>
      <c r="B16" s="2" t="s">
        <v>62</v>
      </c>
      <c r="C16" s="2" t="s">
        <v>57</v>
      </c>
      <c r="D16" s="2">
        <v>79</v>
      </c>
      <c r="E16" s="2" t="s">
        <v>60</v>
      </c>
      <c r="F16" s="2" t="s">
        <v>63</v>
      </c>
      <c r="G16" s="2" t="s">
        <v>23</v>
      </c>
      <c r="H16" s="2">
        <v>14</v>
      </c>
      <c r="I16" s="2" t="s">
        <v>18</v>
      </c>
    </row>
    <row r="17" spans="1:9">
      <c r="A17" s="3" t="s">
        <v>64</v>
      </c>
      <c r="B17" s="3" t="s">
        <v>10</v>
      </c>
      <c r="C17" s="3" t="s">
        <v>11</v>
      </c>
      <c r="D17" s="3">
        <v>102</v>
      </c>
      <c r="E17" s="3" t="s">
        <v>65</v>
      </c>
      <c r="F17" s="3"/>
      <c r="G17" s="3" t="s">
        <v>13</v>
      </c>
      <c r="H17" s="3"/>
      <c r="I17" s="3" t="s">
        <v>18</v>
      </c>
    </row>
    <row r="18" spans="1:9">
      <c r="A18" s="2" t="s">
        <v>66</v>
      </c>
      <c r="B18" s="2" t="s">
        <v>16</v>
      </c>
      <c r="C18" s="2" t="s">
        <v>11</v>
      </c>
      <c r="D18" s="2">
        <v>98</v>
      </c>
      <c r="E18" s="2" t="s">
        <v>67</v>
      </c>
      <c r="F18" s="2" t="s">
        <v>22</v>
      </c>
      <c r="G18" s="2" t="s">
        <v>23</v>
      </c>
      <c r="H18" s="2">
        <v>6</v>
      </c>
      <c r="I18" s="2" t="s">
        <v>18</v>
      </c>
    </row>
    <row r="19" spans="1:9">
      <c r="A19" s="3" t="s">
        <v>68</v>
      </c>
      <c r="B19" s="3" t="s">
        <v>20</v>
      </c>
      <c r="C19" s="3" t="s">
        <v>11</v>
      </c>
      <c r="D19" s="3">
        <v>73</v>
      </c>
      <c r="E19" s="3" t="s">
        <v>69</v>
      </c>
      <c r="F19" s="3"/>
      <c r="G19" s="3" t="s">
        <v>13</v>
      </c>
      <c r="H19" s="3"/>
      <c r="I19" s="3" t="s">
        <v>18</v>
      </c>
    </row>
    <row r="20" spans="1:9">
      <c r="A20" s="2" t="s">
        <v>70</v>
      </c>
      <c r="B20" s="2" t="s">
        <v>25</v>
      </c>
      <c r="C20" s="2" t="s">
        <v>11</v>
      </c>
      <c r="D20" s="2">
        <v>23</v>
      </c>
      <c r="E20" s="2" t="s">
        <v>71</v>
      </c>
      <c r="F20" s="2" t="s">
        <v>21</v>
      </c>
      <c r="G20" s="2" t="s">
        <v>23</v>
      </c>
      <c r="H20" s="2">
        <v>11</v>
      </c>
      <c r="I20" s="2" t="s">
        <v>28</v>
      </c>
    </row>
    <row r="21" spans="1:9">
      <c r="A21" s="3" t="s">
        <v>72</v>
      </c>
      <c r="B21" s="3" t="s">
        <v>30</v>
      </c>
      <c r="C21" s="3" t="s">
        <v>31</v>
      </c>
      <c r="D21" s="3">
        <v>46</v>
      </c>
      <c r="E21" s="3" t="s">
        <v>46</v>
      </c>
      <c r="F21" s="3" t="s">
        <v>37</v>
      </c>
      <c r="G21" s="3" t="s">
        <v>23</v>
      </c>
      <c r="H21" s="3">
        <v>7</v>
      </c>
      <c r="I21" s="3" t="s">
        <v>18</v>
      </c>
    </row>
    <row r="22" spans="1:9">
      <c r="A22" s="2" t="s">
        <v>73</v>
      </c>
      <c r="B22" s="2" t="s">
        <v>34</v>
      </c>
      <c r="C22" s="2" t="s">
        <v>31</v>
      </c>
      <c r="D22" s="2">
        <v>181</v>
      </c>
      <c r="E22" s="2" t="s">
        <v>27</v>
      </c>
      <c r="F22" s="2"/>
      <c r="G22" s="2" t="s">
        <v>13</v>
      </c>
      <c r="H22" s="2"/>
      <c r="I22" s="2" t="s">
        <v>14</v>
      </c>
    </row>
    <row r="23" spans="1:9">
      <c r="A23" s="3" t="s">
        <v>74</v>
      </c>
      <c r="B23" s="3" t="s">
        <v>36</v>
      </c>
      <c r="C23" s="3" t="s">
        <v>31</v>
      </c>
      <c r="D23" s="3">
        <v>19</v>
      </c>
      <c r="E23" s="3" t="s">
        <v>17</v>
      </c>
      <c r="F23" s="3" t="s">
        <v>75</v>
      </c>
      <c r="G23" s="3" t="s">
        <v>23</v>
      </c>
      <c r="H23" s="3">
        <v>14</v>
      </c>
      <c r="I23" s="3" t="s">
        <v>28</v>
      </c>
    </row>
    <row r="24" spans="1:9">
      <c r="A24" s="2" t="s">
        <v>76</v>
      </c>
      <c r="B24" s="2" t="s">
        <v>40</v>
      </c>
      <c r="C24" s="2" t="s">
        <v>41</v>
      </c>
      <c r="D24" s="2">
        <v>107</v>
      </c>
      <c r="E24" s="2" t="s">
        <v>65</v>
      </c>
      <c r="F24" s="2" t="s">
        <v>22</v>
      </c>
      <c r="G24" s="2" t="s">
        <v>23</v>
      </c>
      <c r="H24" s="2">
        <v>2</v>
      </c>
      <c r="I24" s="2" t="s">
        <v>18</v>
      </c>
    </row>
    <row r="25" spans="1:9">
      <c r="A25" s="3" t="s">
        <v>77</v>
      </c>
      <c r="B25" s="3" t="s">
        <v>44</v>
      </c>
      <c r="C25" s="3" t="s">
        <v>41</v>
      </c>
      <c r="D25" s="3">
        <v>188</v>
      </c>
      <c r="E25" s="3" t="s">
        <v>45</v>
      </c>
      <c r="F25" s="3"/>
      <c r="G25" s="3" t="s">
        <v>13</v>
      </c>
      <c r="H25" s="3"/>
      <c r="I25" s="3" t="s">
        <v>14</v>
      </c>
    </row>
    <row r="26" spans="1:9">
      <c r="A26" s="2" t="s">
        <v>78</v>
      </c>
      <c r="B26" s="2" t="s">
        <v>48</v>
      </c>
      <c r="C26" s="2" t="s">
        <v>41</v>
      </c>
      <c r="D26" s="2">
        <v>106</v>
      </c>
      <c r="E26" s="2" t="s">
        <v>79</v>
      </c>
      <c r="F26" s="2" t="s">
        <v>69</v>
      </c>
      <c r="G26" s="2" t="s">
        <v>23</v>
      </c>
      <c r="H26" s="2">
        <v>8</v>
      </c>
      <c r="I26" s="2" t="s">
        <v>18</v>
      </c>
    </row>
    <row r="27" spans="1:9">
      <c r="A27" s="3" t="s">
        <v>80</v>
      </c>
      <c r="B27" s="3" t="s">
        <v>50</v>
      </c>
      <c r="C27" s="3" t="s">
        <v>51</v>
      </c>
      <c r="D27" s="3">
        <v>68</v>
      </c>
      <c r="E27" s="3" t="s">
        <v>21</v>
      </c>
      <c r="F27" s="3" t="s">
        <v>22</v>
      </c>
      <c r="G27" s="3" t="s">
        <v>23</v>
      </c>
      <c r="H27" s="3">
        <v>9</v>
      </c>
      <c r="I27" s="3" t="s">
        <v>18</v>
      </c>
    </row>
    <row r="28" spans="1:9">
      <c r="A28" s="2" t="s">
        <v>81</v>
      </c>
      <c r="B28" s="2" t="s">
        <v>53</v>
      </c>
      <c r="C28" s="2" t="s">
        <v>51</v>
      </c>
      <c r="D28" s="2">
        <v>154</v>
      </c>
      <c r="E28" s="2" t="s">
        <v>82</v>
      </c>
      <c r="F28" s="2" t="s">
        <v>83</v>
      </c>
      <c r="G28" s="2" t="s">
        <v>23</v>
      </c>
      <c r="H28" s="2">
        <v>6</v>
      </c>
      <c r="I28" s="2" t="s">
        <v>14</v>
      </c>
    </row>
    <row r="29" spans="1:9">
      <c r="A29" s="3" t="s">
        <v>84</v>
      </c>
      <c r="B29" s="3" t="s">
        <v>56</v>
      </c>
      <c r="C29" s="3" t="s">
        <v>57</v>
      </c>
      <c r="D29" s="3">
        <v>135</v>
      </c>
      <c r="E29" s="3" t="s">
        <v>83</v>
      </c>
      <c r="F29" s="3"/>
      <c r="G29" s="3" t="s">
        <v>54</v>
      </c>
      <c r="H29" s="3"/>
      <c r="I29" s="3" t="s">
        <v>18</v>
      </c>
    </row>
    <row r="30" spans="1:9">
      <c r="A30" s="2" t="s">
        <v>85</v>
      </c>
      <c r="B30" s="2" t="s">
        <v>59</v>
      </c>
      <c r="C30" s="2" t="s">
        <v>57</v>
      </c>
      <c r="D30" s="2">
        <v>33</v>
      </c>
      <c r="E30" s="2" t="s">
        <v>86</v>
      </c>
      <c r="F30" s="2" t="s">
        <v>38</v>
      </c>
      <c r="G30" s="2" t="s">
        <v>23</v>
      </c>
      <c r="H30" s="2">
        <v>11</v>
      </c>
      <c r="I30" s="2" t="s">
        <v>18</v>
      </c>
    </row>
    <row r="31" spans="1:9">
      <c r="A31" s="3" t="s">
        <v>87</v>
      </c>
      <c r="B31" s="3" t="s">
        <v>62</v>
      </c>
      <c r="C31" s="3" t="s">
        <v>57</v>
      </c>
      <c r="D31" s="3">
        <v>113</v>
      </c>
      <c r="E31" s="3" t="s">
        <v>71</v>
      </c>
      <c r="F31" s="3" t="s">
        <v>22</v>
      </c>
      <c r="G31" s="3" t="s">
        <v>23</v>
      </c>
      <c r="H31" s="3">
        <v>2</v>
      </c>
      <c r="I31" s="3" t="s">
        <v>18</v>
      </c>
    </row>
    <row r="32" spans="1:9">
      <c r="A32" s="2" t="s">
        <v>88</v>
      </c>
      <c r="B32" s="2" t="s">
        <v>10</v>
      </c>
      <c r="C32" s="2" t="s">
        <v>11</v>
      </c>
      <c r="D32" s="2">
        <v>140</v>
      </c>
      <c r="E32" s="2" t="s">
        <v>89</v>
      </c>
      <c r="F32" s="2"/>
      <c r="G32" s="2" t="s">
        <v>90</v>
      </c>
      <c r="H32" s="2"/>
      <c r="I32" s="2" t="s">
        <v>18</v>
      </c>
    </row>
    <row r="33" spans="1:9">
      <c r="A33" s="3" t="s">
        <v>91</v>
      </c>
      <c r="B33" s="3" t="s">
        <v>16</v>
      </c>
      <c r="C33" s="3" t="s">
        <v>11</v>
      </c>
      <c r="D33" s="3">
        <v>7</v>
      </c>
      <c r="E33" s="3" t="s">
        <v>92</v>
      </c>
      <c r="F33" s="3" t="s">
        <v>93</v>
      </c>
      <c r="G33" s="3" t="s">
        <v>23</v>
      </c>
      <c r="H33" s="3">
        <v>12</v>
      </c>
      <c r="I33" s="3" t="s">
        <v>28</v>
      </c>
    </row>
    <row r="34" spans="1:9">
      <c r="A34" s="2" t="s">
        <v>94</v>
      </c>
      <c r="B34" s="2" t="s">
        <v>20</v>
      </c>
      <c r="C34" s="2" t="s">
        <v>11</v>
      </c>
      <c r="D34" s="2">
        <v>197</v>
      </c>
      <c r="E34" s="2" t="s">
        <v>89</v>
      </c>
      <c r="F34" s="2"/>
      <c r="G34" s="2" t="s">
        <v>13</v>
      </c>
      <c r="H34" s="2"/>
      <c r="I34" s="2" t="s">
        <v>14</v>
      </c>
    </row>
    <row r="35" spans="1:9">
      <c r="A35" s="3" t="s">
        <v>95</v>
      </c>
      <c r="B35" s="3" t="s">
        <v>25</v>
      </c>
      <c r="C35" s="3" t="s">
        <v>11</v>
      </c>
      <c r="D35" s="3">
        <v>33</v>
      </c>
      <c r="E35" s="3" t="s">
        <v>96</v>
      </c>
      <c r="F35" s="3" t="s">
        <v>97</v>
      </c>
      <c r="G35" s="3" t="s">
        <v>23</v>
      </c>
      <c r="H35" s="3">
        <v>7</v>
      </c>
      <c r="I35" s="3" t="s">
        <v>18</v>
      </c>
    </row>
    <row r="36" spans="1:9">
      <c r="A36" s="2" t="s">
        <v>98</v>
      </c>
      <c r="B36" s="2" t="s">
        <v>30</v>
      </c>
      <c r="C36" s="2" t="s">
        <v>31</v>
      </c>
      <c r="D36" s="2">
        <v>189</v>
      </c>
      <c r="E36" s="2" t="s">
        <v>99</v>
      </c>
      <c r="F36" s="2"/>
      <c r="G36" s="2" t="s">
        <v>90</v>
      </c>
      <c r="H36" s="2"/>
      <c r="I36" s="2" t="s">
        <v>14</v>
      </c>
    </row>
    <row r="37" spans="1:9">
      <c r="A37" s="3" t="s">
        <v>100</v>
      </c>
      <c r="B37" s="3" t="s">
        <v>34</v>
      </c>
      <c r="C37" s="3" t="s">
        <v>31</v>
      </c>
      <c r="D37" s="3">
        <v>200</v>
      </c>
      <c r="E37" s="3" t="s">
        <v>101</v>
      </c>
      <c r="F37" s="3"/>
      <c r="G37" s="3" t="s">
        <v>90</v>
      </c>
      <c r="H37" s="3"/>
      <c r="I37" s="3" t="s">
        <v>14</v>
      </c>
    </row>
    <row r="38" spans="1:9">
      <c r="A38" s="2" t="s">
        <v>102</v>
      </c>
      <c r="B38" s="2" t="s">
        <v>36</v>
      </c>
      <c r="C38" s="2" t="s">
        <v>31</v>
      </c>
      <c r="D38" s="2">
        <v>165</v>
      </c>
      <c r="E38" s="2" t="s">
        <v>96</v>
      </c>
      <c r="F38" s="2"/>
      <c r="G38" s="2" t="s">
        <v>13</v>
      </c>
      <c r="H38" s="2"/>
      <c r="I38" s="2" t="s">
        <v>14</v>
      </c>
    </row>
    <row r="39" spans="1:9">
      <c r="A39" s="3" t="s">
        <v>103</v>
      </c>
      <c r="B39" s="3" t="s">
        <v>40</v>
      </c>
      <c r="C39" s="3" t="s">
        <v>41</v>
      </c>
      <c r="D39" s="3">
        <v>160</v>
      </c>
      <c r="E39" s="3" t="s">
        <v>104</v>
      </c>
      <c r="F39" s="3" t="s">
        <v>105</v>
      </c>
      <c r="G39" s="3" t="s">
        <v>23</v>
      </c>
      <c r="H39" s="3">
        <v>3</v>
      </c>
      <c r="I39" s="3" t="s">
        <v>14</v>
      </c>
    </row>
    <row r="40" spans="1:9">
      <c r="A40" s="2" t="s">
        <v>106</v>
      </c>
      <c r="B40" s="2" t="s">
        <v>44</v>
      </c>
      <c r="C40" s="2" t="s">
        <v>41</v>
      </c>
      <c r="D40" s="2">
        <v>143</v>
      </c>
      <c r="E40" s="2" t="s">
        <v>107</v>
      </c>
      <c r="F40" s="2" t="s">
        <v>108</v>
      </c>
      <c r="G40" s="2" t="s">
        <v>23</v>
      </c>
      <c r="H40" s="2">
        <v>15</v>
      </c>
      <c r="I40" s="2" t="s">
        <v>18</v>
      </c>
    </row>
    <row r="41" spans="1:9">
      <c r="A41" s="3" t="s">
        <v>109</v>
      </c>
      <c r="B41" s="3" t="s">
        <v>48</v>
      </c>
      <c r="C41" s="3" t="s">
        <v>41</v>
      </c>
      <c r="D41" s="3">
        <v>158</v>
      </c>
      <c r="E41" s="3" t="s">
        <v>97</v>
      </c>
      <c r="F41" s="3" t="s">
        <v>110</v>
      </c>
      <c r="G41" s="3" t="s">
        <v>23</v>
      </c>
      <c r="H41" s="3">
        <v>8</v>
      </c>
      <c r="I41" s="3" t="s">
        <v>14</v>
      </c>
    </row>
    <row r="42" spans="1:9">
      <c r="A42" s="2" t="s">
        <v>111</v>
      </c>
      <c r="B42" s="2" t="s">
        <v>50</v>
      </c>
      <c r="C42" s="2" t="s">
        <v>51</v>
      </c>
      <c r="D42" s="2">
        <v>83</v>
      </c>
      <c r="E42" s="2" t="s">
        <v>112</v>
      </c>
      <c r="F42" s="2" t="s">
        <v>93</v>
      </c>
      <c r="G42" s="2" t="s">
        <v>23</v>
      </c>
      <c r="H42" s="2">
        <v>1</v>
      </c>
      <c r="I42" s="2" t="s">
        <v>18</v>
      </c>
    </row>
    <row r="43" spans="1:9">
      <c r="A43" s="3" t="s">
        <v>113</v>
      </c>
      <c r="B43" s="3" t="s">
        <v>53</v>
      </c>
      <c r="C43" s="3" t="s">
        <v>51</v>
      </c>
      <c r="D43" s="3">
        <v>25</v>
      </c>
      <c r="E43" s="3" t="s">
        <v>114</v>
      </c>
      <c r="F43" s="3" t="s">
        <v>101</v>
      </c>
      <c r="G43" s="3" t="s">
        <v>23</v>
      </c>
      <c r="H43" s="3">
        <v>12</v>
      </c>
      <c r="I43" s="3" t="s">
        <v>28</v>
      </c>
    </row>
    <row r="44" spans="1:9">
      <c r="A44" s="2" t="s">
        <v>115</v>
      </c>
      <c r="B44" s="2" t="s">
        <v>56</v>
      </c>
      <c r="C44" s="2" t="s">
        <v>57</v>
      </c>
      <c r="D44" s="2">
        <v>199</v>
      </c>
      <c r="E44" s="2" t="s">
        <v>116</v>
      </c>
      <c r="F44" s="2" t="s">
        <v>108</v>
      </c>
      <c r="G44" s="2" t="s">
        <v>23</v>
      </c>
      <c r="H44" s="2">
        <v>13</v>
      </c>
      <c r="I44" s="2" t="s">
        <v>14</v>
      </c>
    </row>
    <row r="45" spans="1:9">
      <c r="A45" s="3" t="s">
        <v>117</v>
      </c>
      <c r="B45" s="3" t="s">
        <v>59</v>
      </c>
      <c r="C45" s="3" t="s">
        <v>57</v>
      </c>
      <c r="D45" s="3">
        <v>145</v>
      </c>
      <c r="E45" s="3" t="s">
        <v>101</v>
      </c>
      <c r="F45" s="3" t="s">
        <v>108</v>
      </c>
      <c r="G45" s="3" t="s">
        <v>23</v>
      </c>
      <c r="H45" s="3">
        <v>5</v>
      </c>
      <c r="I45" s="3" t="s">
        <v>18</v>
      </c>
    </row>
    <row r="46" spans="1:9">
      <c r="A46" s="2" t="s">
        <v>118</v>
      </c>
      <c r="B46" s="2" t="s">
        <v>62</v>
      </c>
      <c r="C46" s="2" t="s">
        <v>57</v>
      </c>
      <c r="D46" s="2">
        <v>113</v>
      </c>
      <c r="E46" s="2" t="s">
        <v>104</v>
      </c>
      <c r="F46" s="2" t="s">
        <v>119</v>
      </c>
      <c r="G46" s="2" t="s">
        <v>23</v>
      </c>
      <c r="H46" s="2">
        <v>15</v>
      </c>
      <c r="I46" s="2" t="s">
        <v>18</v>
      </c>
    </row>
    <row r="47" spans="1:9">
      <c r="A47" s="3" t="s">
        <v>120</v>
      </c>
      <c r="B47" s="3" t="s">
        <v>10</v>
      </c>
      <c r="C47" s="3" t="s">
        <v>11</v>
      </c>
      <c r="D47" s="3">
        <v>187</v>
      </c>
      <c r="E47" s="3" t="s">
        <v>96</v>
      </c>
      <c r="F47" s="3"/>
      <c r="G47" s="3" t="s">
        <v>90</v>
      </c>
      <c r="H47" s="3"/>
      <c r="I47" s="3" t="s">
        <v>14</v>
      </c>
    </row>
    <row r="48" spans="1:9">
      <c r="A48" s="2" t="s">
        <v>121</v>
      </c>
      <c r="B48" s="2" t="s">
        <v>16</v>
      </c>
      <c r="C48" s="2" t="s">
        <v>11</v>
      </c>
      <c r="D48" s="2">
        <v>171</v>
      </c>
      <c r="E48" s="2" t="s">
        <v>122</v>
      </c>
      <c r="F48" s="2"/>
      <c r="G48" s="2" t="s">
        <v>90</v>
      </c>
      <c r="H48" s="2"/>
      <c r="I48" s="2" t="s">
        <v>14</v>
      </c>
    </row>
    <row r="49" spans="1:9">
      <c r="A49" s="3" t="s">
        <v>123</v>
      </c>
      <c r="B49" s="3" t="s">
        <v>20</v>
      </c>
      <c r="C49" s="3" t="s">
        <v>11</v>
      </c>
      <c r="D49" s="3">
        <v>120</v>
      </c>
      <c r="E49" s="3" t="s">
        <v>124</v>
      </c>
      <c r="F49" s="3" t="s">
        <v>125</v>
      </c>
      <c r="G49" s="3" t="s">
        <v>23</v>
      </c>
      <c r="H49" s="3">
        <v>4</v>
      </c>
      <c r="I49" s="3" t="s">
        <v>18</v>
      </c>
    </row>
    <row r="50" spans="1:9">
      <c r="A50" s="2" t="s">
        <v>126</v>
      </c>
      <c r="B50" s="2" t="s">
        <v>25</v>
      </c>
      <c r="C50" s="2" t="s">
        <v>11</v>
      </c>
      <c r="D50" s="2">
        <v>10</v>
      </c>
      <c r="E50" s="2" t="s">
        <v>127</v>
      </c>
      <c r="F50" s="2" t="s">
        <v>110</v>
      </c>
      <c r="G50" s="2" t="s">
        <v>23</v>
      </c>
      <c r="H50" s="2">
        <v>9</v>
      </c>
      <c r="I50" s="2" t="s">
        <v>28</v>
      </c>
    </row>
    <row r="51" spans="1:9">
      <c r="A51" s="3" t="s">
        <v>128</v>
      </c>
      <c r="B51" s="3" t="s">
        <v>30</v>
      </c>
      <c r="C51" s="3" t="s">
        <v>31</v>
      </c>
      <c r="D51" s="3">
        <v>6</v>
      </c>
      <c r="E51" s="3" t="s">
        <v>114</v>
      </c>
      <c r="F51" s="3"/>
      <c r="G51" s="3" t="s">
        <v>13</v>
      </c>
      <c r="H51" s="3"/>
      <c r="I51" s="3" t="s">
        <v>28</v>
      </c>
    </row>
    <row r="52" spans="1:9">
      <c r="A52" s="2" t="s">
        <v>129</v>
      </c>
      <c r="B52" s="2" t="s">
        <v>34</v>
      </c>
      <c r="C52" s="2" t="s">
        <v>31</v>
      </c>
      <c r="D52" s="2">
        <v>63</v>
      </c>
      <c r="E52" s="2" t="s">
        <v>114</v>
      </c>
      <c r="F52" s="2" t="s">
        <v>119</v>
      </c>
      <c r="G52" s="2" t="s">
        <v>23</v>
      </c>
      <c r="H52" s="2">
        <v>15</v>
      </c>
      <c r="I52" s="2" t="s">
        <v>18</v>
      </c>
    </row>
    <row r="53" spans="1:9">
      <c r="A53" s="3" t="s">
        <v>130</v>
      </c>
      <c r="B53" s="3" t="s">
        <v>36</v>
      </c>
      <c r="C53" s="3" t="s">
        <v>31</v>
      </c>
      <c r="D53" s="3">
        <v>23</v>
      </c>
      <c r="E53" s="3" t="s">
        <v>131</v>
      </c>
      <c r="F53" s="3" t="s">
        <v>107</v>
      </c>
      <c r="G53" s="3" t="s">
        <v>23</v>
      </c>
      <c r="H53" s="3">
        <v>4</v>
      </c>
      <c r="I53" s="3" t="s">
        <v>28</v>
      </c>
    </row>
    <row r="54" spans="1:9">
      <c r="A54" s="2" t="s">
        <v>132</v>
      </c>
      <c r="B54" s="2" t="s">
        <v>40</v>
      </c>
      <c r="C54" s="2" t="s">
        <v>41</v>
      </c>
      <c r="D54" s="2">
        <v>59</v>
      </c>
      <c r="E54" s="2" t="s">
        <v>116</v>
      </c>
      <c r="F54" s="2"/>
      <c r="G54" s="2" t="s">
        <v>13</v>
      </c>
      <c r="H54" s="2"/>
      <c r="I54" s="2" t="s">
        <v>18</v>
      </c>
    </row>
    <row r="55" spans="1:9">
      <c r="A55" s="3" t="s">
        <v>133</v>
      </c>
      <c r="B55" s="3" t="s">
        <v>44</v>
      </c>
      <c r="C55" s="3" t="s">
        <v>41</v>
      </c>
      <c r="D55" s="3">
        <v>151</v>
      </c>
      <c r="E55" s="3" t="s">
        <v>127</v>
      </c>
      <c r="F55" s="3" t="s">
        <v>93</v>
      </c>
      <c r="G55" s="3" t="s">
        <v>23</v>
      </c>
      <c r="H55" s="3">
        <v>8</v>
      </c>
      <c r="I55" s="3" t="s">
        <v>14</v>
      </c>
    </row>
    <row r="56" spans="1:9">
      <c r="A56" s="2" t="s">
        <v>134</v>
      </c>
      <c r="B56" s="2" t="s">
        <v>48</v>
      </c>
      <c r="C56" s="2" t="s">
        <v>41</v>
      </c>
      <c r="D56" s="2">
        <v>109</v>
      </c>
      <c r="E56" s="2" t="s">
        <v>104</v>
      </c>
      <c r="F56" s="2" t="s">
        <v>135</v>
      </c>
      <c r="G56" s="2" t="s">
        <v>23</v>
      </c>
      <c r="H56" s="2">
        <v>2</v>
      </c>
      <c r="I56" s="2" t="s">
        <v>18</v>
      </c>
    </row>
    <row r="57" spans="1:9">
      <c r="A57" s="3" t="s">
        <v>136</v>
      </c>
      <c r="B57" s="3" t="s">
        <v>50</v>
      </c>
      <c r="C57" s="3" t="s">
        <v>51</v>
      </c>
      <c r="D57" s="3">
        <v>95</v>
      </c>
      <c r="E57" s="3" t="s">
        <v>119</v>
      </c>
      <c r="F57" s="3" t="s">
        <v>108</v>
      </c>
      <c r="G57" s="3" t="s">
        <v>23</v>
      </c>
      <c r="H57" s="3">
        <v>7</v>
      </c>
      <c r="I57" s="3" t="s">
        <v>18</v>
      </c>
    </row>
    <row r="58" spans="1:9">
      <c r="A58" s="2" t="s">
        <v>137</v>
      </c>
      <c r="B58" s="2" t="s">
        <v>53</v>
      </c>
      <c r="C58" s="2" t="s">
        <v>51</v>
      </c>
      <c r="D58" s="2">
        <v>18</v>
      </c>
      <c r="E58" s="2" t="s">
        <v>92</v>
      </c>
      <c r="F58" s="2"/>
      <c r="G58" s="2" t="s">
        <v>90</v>
      </c>
      <c r="H58" s="2"/>
      <c r="I58" s="2" t="s">
        <v>28</v>
      </c>
    </row>
    <row r="59" spans="1:9">
      <c r="A59" s="3" t="s">
        <v>138</v>
      </c>
      <c r="B59" s="3" t="s">
        <v>56</v>
      </c>
      <c r="C59" s="3" t="s">
        <v>57</v>
      </c>
      <c r="D59" s="3">
        <v>30</v>
      </c>
      <c r="E59" s="3" t="s">
        <v>139</v>
      </c>
      <c r="F59" s="3"/>
      <c r="G59" s="3" t="s">
        <v>13</v>
      </c>
      <c r="H59" s="3"/>
      <c r="I59" s="3" t="s">
        <v>18</v>
      </c>
    </row>
    <row r="60" spans="1:9">
      <c r="A60" s="2" t="s">
        <v>140</v>
      </c>
      <c r="B60" s="2" t="s">
        <v>59</v>
      </c>
      <c r="C60" s="2" t="s">
        <v>57</v>
      </c>
      <c r="D60" s="2">
        <v>32</v>
      </c>
      <c r="E60" s="2" t="s">
        <v>112</v>
      </c>
      <c r="F60" s="2" t="s">
        <v>110</v>
      </c>
      <c r="G60" s="2" t="s">
        <v>23</v>
      </c>
      <c r="H60" s="2">
        <v>4</v>
      </c>
      <c r="I60" s="2" t="s">
        <v>18</v>
      </c>
    </row>
    <row r="61" spans="1:9">
      <c r="A61" s="3" t="s">
        <v>141</v>
      </c>
      <c r="B61" s="3" t="s">
        <v>62</v>
      </c>
      <c r="C61" s="3" t="s">
        <v>57</v>
      </c>
      <c r="D61" s="3">
        <v>40</v>
      </c>
      <c r="E61" s="3" t="s">
        <v>119</v>
      </c>
      <c r="F61" s="3" t="s">
        <v>116</v>
      </c>
      <c r="G61" s="3" t="s">
        <v>23</v>
      </c>
      <c r="H61" s="3">
        <v>3</v>
      </c>
      <c r="I61" s="3" t="s">
        <v>18</v>
      </c>
    </row>
    <row r="62" spans="1:9">
      <c r="A62" s="2" t="s">
        <v>142</v>
      </c>
      <c r="B62" s="2" t="s">
        <v>10</v>
      </c>
      <c r="C62" s="2" t="s">
        <v>11</v>
      </c>
      <c r="D62" s="2">
        <v>24</v>
      </c>
      <c r="E62" s="2" t="s">
        <v>143</v>
      </c>
      <c r="F62" s="2"/>
      <c r="G62" s="2" t="s">
        <v>90</v>
      </c>
      <c r="H62" s="2"/>
      <c r="I62" s="2" t="s">
        <v>28</v>
      </c>
    </row>
    <row r="63" spans="1:9">
      <c r="A63" s="3" t="s">
        <v>144</v>
      </c>
      <c r="B63" s="3" t="s">
        <v>16</v>
      </c>
      <c r="C63" s="3" t="s">
        <v>11</v>
      </c>
      <c r="D63" s="3">
        <v>145</v>
      </c>
      <c r="E63" s="3" t="s">
        <v>145</v>
      </c>
      <c r="F63" s="3"/>
      <c r="G63" s="3" t="s">
        <v>13</v>
      </c>
      <c r="H63" s="3"/>
      <c r="I63" s="3" t="s">
        <v>18</v>
      </c>
    </row>
    <row r="64" spans="1:9">
      <c r="A64" s="2" t="s">
        <v>146</v>
      </c>
      <c r="B64" s="2" t="s">
        <v>20</v>
      </c>
      <c r="C64" s="2" t="s">
        <v>11</v>
      </c>
      <c r="D64" s="2">
        <v>143</v>
      </c>
      <c r="E64" s="2" t="s">
        <v>147</v>
      </c>
      <c r="F64" s="2"/>
      <c r="G64" s="2" t="s">
        <v>90</v>
      </c>
      <c r="H64" s="2"/>
      <c r="I64" s="2" t="s">
        <v>18</v>
      </c>
    </row>
    <row r="65" spans="1:9">
      <c r="A65" s="3" t="s">
        <v>148</v>
      </c>
      <c r="B65" s="3" t="s">
        <v>25</v>
      </c>
      <c r="C65" s="3" t="s">
        <v>11</v>
      </c>
      <c r="D65" s="3">
        <v>197</v>
      </c>
      <c r="E65" s="3" t="s">
        <v>149</v>
      </c>
      <c r="F65" s="3" t="s">
        <v>149</v>
      </c>
      <c r="G65" s="3" t="s">
        <v>23</v>
      </c>
      <c r="H65" s="3">
        <v>4</v>
      </c>
      <c r="I65" s="3" t="s">
        <v>14</v>
      </c>
    </row>
    <row r="66" spans="1:9">
      <c r="A66" s="2" t="s">
        <v>150</v>
      </c>
      <c r="B66" s="2" t="s">
        <v>30</v>
      </c>
      <c r="C66" s="2" t="s">
        <v>31</v>
      </c>
      <c r="D66" s="2">
        <v>128</v>
      </c>
      <c r="E66" s="2" t="s">
        <v>151</v>
      </c>
      <c r="F66" s="2" t="s">
        <v>152</v>
      </c>
      <c r="G66" s="2" t="s">
        <v>23</v>
      </c>
      <c r="H66" s="2">
        <v>14</v>
      </c>
      <c r="I66" s="2" t="s">
        <v>18</v>
      </c>
    </row>
    <row r="67" spans="1:9">
      <c r="A67" s="3" t="s">
        <v>153</v>
      </c>
      <c r="B67" s="3" t="s">
        <v>34</v>
      </c>
      <c r="C67" s="3" t="s">
        <v>31</v>
      </c>
      <c r="D67" s="3">
        <v>47</v>
      </c>
      <c r="E67" s="3" t="s">
        <v>154</v>
      </c>
      <c r="F67" s="3"/>
      <c r="G67" s="3" t="s">
        <v>90</v>
      </c>
      <c r="H67" s="3"/>
      <c r="I67" s="3" t="s">
        <v>18</v>
      </c>
    </row>
    <row r="68" spans="1:9">
      <c r="A68" s="2" t="s">
        <v>155</v>
      </c>
      <c r="B68" s="2" t="s">
        <v>36</v>
      </c>
      <c r="C68" s="2" t="s">
        <v>31</v>
      </c>
      <c r="D68" s="2">
        <v>72</v>
      </c>
      <c r="E68" s="2" t="s">
        <v>156</v>
      </c>
      <c r="F68" s="2" t="s">
        <v>149</v>
      </c>
      <c r="G68" s="2" t="s">
        <v>23</v>
      </c>
      <c r="H68" s="2">
        <v>13</v>
      </c>
      <c r="I68" s="2" t="s">
        <v>18</v>
      </c>
    </row>
    <row r="69" spans="1:9">
      <c r="A69" s="3" t="s">
        <v>157</v>
      </c>
      <c r="B69" s="3" t="s">
        <v>40</v>
      </c>
      <c r="C69" s="3" t="s">
        <v>41</v>
      </c>
      <c r="D69" s="3">
        <v>183</v>
      </c>
      <c r="E69" s="3" t="s">
        <v>158</v>
      </c>
      <c r="F69" s="3"/>
      <c r="G69" s="3" t="s">
        <v>13</v>
      </c>
      <c r="H69" s="3"/>
      <c r="I69" s="3" t="s">
        <v>14</v>
      </c>
    </row>
    <row r="70" spans="1:9">
      <c r="A70" s="2" t="s">
        <v>159</v>
      </c>
      <c r="B70" s="2" t="s">
        <v>44</v>
      </c>
      <c r="C70" s="2" t="s">
        <v>41</v>
      </c>
      <c r="D70" s="2">
        <v>188</v>
      </c>
      <c r="E70" s="2" t="s">
        <v>160</v>
      </c>
      <c r="F70" s="2" t="s">
        <v>161</v>
      </c>
      <c r="G70" s="2" t="s">
        <v>23</v>
      </c>
      <c r="H70" s="2">
        <v>3</v>
      </c>
      <c r="I70" s="2" t="s">
        <v>14</v>
      </c>
    </row>
    <row r="71" spans="1:9">
      <c r="A71" s="3" t="s">
        <v>162</v>
      </c>
      <c r="B71" s="3" t="s">
        <v>48</v>
      </c>
      <c r="C71" s="3" t="s">
        <v>41</v>
      </c>
      <c r="D71" s="3">
        <v>19</v>
      </c>
      <c r="E71" s="3" t="s">
        <v>163</v>
      </c>
      <c r="F71" s="3" t="s">
        <v>164</v>
      </c>
      <c r="G71" s="3" t="s">
        <v>23</v>
      </c>
      <c r="H71" s="3">
        <v>12</v>
      </c>
      <c r="I71" s="3" t="s">
        <v>28</v>
      </c>
    </row>
    <row r="72" spans="1:9">
      <c r="A72" s="2" t="s">
        <v>165</v>
      </c>
      <c r="B72" s="2" t="s">
        <v>50</v>
      </c>
      <c r="C72" s="2" t="s">
        <v>51</v>
      </c>
      <c r="D72" s="2">
        <v>19</v>
      </c>
      <c r="E72" s="2" t="s">
        <v>166</v>
      </c>
      <c r="F72" s="2" t="s">
        <v>163</v>
      </c>
      <c r="G72" s="2" t="s">
        <v>23</v>
      </c>
      <c r="H72" s="2">
        <v>10</v>
      </c>
      <c r="I72" s="2" t="s">
        <v>28</v>
      </c>
    </row>
    <row r="73" spans="1:9">
      <c r="A73" s="3" t="s">
        <v>167</v>
      </c>
      <c r="B73" s="3" t="s">
        <v>53</v>
      </c>
      <c r="C73" s="3" t="s">
        <v>51</v>
      </c>
      <c r="D73" s="3">
        <v>45</v>
      </c>
      <c r="E73" s="3" t="s">
        <v>166</v>
      </c>
      <c r="F73" s="3" t="s">
        <v>168</v>
      </c>
      <c r="G73" s="3" t="s">
        <v>23</v>
      </c>
      <c r="H73" s="3">
        <v>9</v>
      </c>
      <c r="I73" s="3" t="s">
        <v>18</v>
      </c>
    </row>
    <row r="74" spans="1:9">
      <c r="A74" s="2" t="s">
        <v>169</v>
      </c>
      <c r="B74" s="2" t="s">
        <v>56</v>
      </c>
      <c r="C74" s="2" t="s">
        <v>57</v>
      </c>
      <c r="D74" s="2">
        <v>22</v>
      </c>
      <c r="E74" s="2" t="s">
        <v>161</v>
      </c>
      <c r="F74" s="2"/>
      <c r="G74" s="2" t="s">
        <v>13</v>
      </c>
      <c r="H74" s="2"/>
      <c r="I74" s="2" t="s">
        <v>28</v>
      </c>
    </row>
    <row r="75" spans="1:9">
      <c r="A75" s="3" t="s">
        <v>170</v>
      </c>
      <c r="B75" s="3" t="s">
        <v>59</v>
      </c>
      <c r="C75" s="3" t="s">
        <v>57</v>
      </c>
      <c r="D75" s="3">
        <v>65</v>
      </c>
      <c r="E75" s="3" t="s">
        <v>154</v>
      </c>
      <c r="F75" s="3"/>
      <c r="G75" s="3" t="s">
        <v>90</v>
      </c>
      <c r="H75" s="3"/>
      <c r="I75" s="3" t="s">
        <v>18</v>
      </c>
    </row>
    <row r="76" spans="1:9">
      <c r="A76" s="2" t="s">
        <v>171</v>
      </c>
      <c r="B76" s="2" t="s">
        <v>62</v>
      </c>
      <c r="C76" s="2" t="s">
        <v>57</v>
      </c>
      <c r="D76" s="2">
        <v>150</v>
      </c>
      <c r="E76" s="2" t="s">
        <v>168</v>
      </c>
      <c r="F76" s="2"/>
      <c r="G76" s="2" t="s">
        <v>13</v>
      </c>
      <c r="H76" s="2"/>
      <c r="I76" s="2" t="s">
        <v>18</v>
      </c>
    </row>
    <row r="77" spans="1:9">
      <c r="A77" s="3" t="s">
        <v>172</v>
      </c>
      <c r="B77" s="3" t="s">
        <v>10</v>
      </c>
      <c r="C77" s="3" t="s">
        <v>11</v>
      </c>
      <c r="D77" s="3">
        <v>163</v>
      </c>
      <c r="E77" s="3" t="s">
        <v>173</v>
      </c>
      <c r="F77" s="3"/>
      <c r="G77" s="3" t="s">
        <v>13</v>
      </c>
      <c r="H77" s="3"/>
      <c r="I77" s="3" t="s">
        <v>14</v>
      </c>
    </row>
    <row r="78" spans="1:9">
      <c r="A78" s="2" t="s">
        <v>174</v>
      </c>
      <c r="B78" s="2" t="s">
        <v>16</v>
      </c>
      <c r="C78" s="2" t="s">
        <v>11</v>
      </c>
      <c r="D78" s="2">
        <v>149</v>
      </c>
      <c r="E78" s="2" t="s">
        <v>175</v>
      </c>
      <c r="F78" s="2"/>
      <c r="G78" s="2" t="s">
        <v>90</v>
      </c>
      <c r="H78" s="2"/>
      <c r="I78" s="2" t="s">
        <v>18</v>
      </c>
    </row>
    <row r="79" spans="1:9">
      <c r="A79" s="3" t="s">
        <v>176</v>
      </c>
      <c r="B79" s="3" t="s">
        <v>20</v>
      </c>
      <c r="C79" s="3" t="s">
        <v>11</v>
      </c>
      <c r="D79" s="3">
        <v>57</v>
      </c>
      <c r="E79" s="3" t="s">
        <v>177</v>
      </c>
      <c r="F79" s="3" t="s">
        <v>164</v>
      </c>
      <c r="G79" s="3" t="s">
        <v>23</v>
      </c>
      <c r="H79" s="3">
        <v>12</v>
      </c>
      <c r="I79" s="3" t="s">
        <v>18</v>
      </c>
    </row>
    <row r="80" spans="1:9">
      <c r="A80" s="2" t="s">
        <v>178</v>
      </c>
      <c r="B80" s="2" t="s">
        <v>25</v>
      </c>
      <c r="C80" s="2" t="s">
        <v>11</v>
      </c>
      <c r="D80" s="2">
        <v>106</v>
      </c>
      <c r="E80" s="2" t="s">
        <v>179</v>
      </c>
      <c r="F80" s="2"/>
      <c r="G80" s="2" t="s">
        <v>13</v>
      </c>
      <c r="H80" s="2"/>
      <c r="I80" s="2" t="s">
        <v>18</v>
      </c>
    </row>
    <row r="81" spans="1:9">
      <c r="A81" s="3" t="s">
        <v>180</v>
      </c>
      <c r="B81" s="3" t="s">
        <v>30</v>
      </c>
      <c r="C81" s="3" t="s">
        <v>31</v>
      </c>
      <c r="D81" s="3">
        <v>122</v>
      </c>
      <c r="E81" s="3" t="s">
        <v>181</v>
      </c>
      <c r="F81" s="3"/>
      <c r="G81" s="3" t="s">
        <v>54</v>
      </c>
      <c r="H81" s="3"/>
      <c r="I81" s="3" t="s">
        <v>18</v>
      </c>
    </row>
    <row r="82" spans="1:9">
      <c r="A82" s="2" t="s">
        <v>182</v>
      </c>
      <c r="B82" s="2" t="s">
        <v>34</v>
      </c>
      <c r="C82" s="2" t="s">
        <v>31</v>
      </c>
      <c r="D82" s="2">
        <v>23</v>
      </c>
      <c r="E82" s="2" t="s">
        <v>183</v>
      </c>
      <c r="F82" s="2"/>
      <c r="G82" s="2" t="s">
        <v>13</v>
      </c>
      <c r="H82" s="2"/>
      <c r="I82" s="2" t="s">
        <v>28</v>
      </c>
    </row>
    <row r="83" spans="1:9">
      <c r="A83" s="3" t="s">
        <v>184</v>
      </c>
      <c r="B83" s="3" t="s">
        <v>36</v>
      </c>
      <c r="C83" s="3" t="s">
        <v>31</v>
      </c>
      <c r="D83" s="3">
        <v>149</v>
      </c>
      <c r="E83" s="3" t="s">
        <v>145</v>
      </c>
      <c r="F83" s="3" t="s">
        <v>185</v>
      </c>
      <c r="G83" s="3" t="s">
        <v>23</v>
      </c>
      <c r="H83" s="3">
        <v>2</v>
      </c>
      <c r="I83" s="3" t="s">
        <v>18</v>
      </c>
    </row>
    <row r="84" spans="1:9">
      <c r="A84" s="2" t="s">
        <v>186</v>
      </c>
      <c r="B84" s="2" t="s">
        <v>40</v>
      </c>
      <c r="C84" s="2" t="s">
        <v>41</v>
      </c>
      <c r="D84" s="2">
        <v>72</v>
      </c>
      <c r="E84" s="2" t="s">
        <v>179</v>
      </c>
      <c r="F84" s="2" t="s">
        <v>168</v>
      </c>
      <c r="G84" s="2" t="s">
        <v>23</v>
      </c>
      <c r="H84" s="2">
        <v>15</v>
      </c>
      <c r="I84" s="2" t="s">
        <v>18</v>
      </c>
    </row>
    <row r="85" spans="1:9">
      <c r="A85" s="3" t="s">
        <v>187</v>
      </c>
      <c r="B85" s="3" t="s">
        <v>44</v>
      </c>
      <c r="C85" s="3" t="s">
        <v>41</v>
      </c>
      <c r="D85" s="3">
        <v>67</v>
      </c>
      <c r="E85" s="3" t="s">
        <v>188</v>
      </c>
      <c r="F85" s="3" t="s">
        <v>177</v>
      </c>
      <c r="G85" s="3" t="s">
        <v>23</v>
      </c>
      <c r="H85" s="3">
        <v>5</v>
      </c>
      <c r="I85" s="3" t="s">
        <v>18</v>
      </c>
    </row>
    <row r="86" spans="1:9">
      <c r="A86" s="2" t="s">
        <v>189</v>
      </c>
      <c r="B86" s="2" t="s">
        <v>48</v>
      </c>
      <c r="C86" s="2" t="s">
        <v>41</v>
      </c>
      <c r="D86" s="2">
        <v>161</v>
      </c>
      <c r="E86" s="2" t="s">
        <v>156</v>
      </c>
      <c r="F86" s="2" t="s">
        <v>149</v>
      </c>
      <c r="G86" s="2" t="s">
        <v>23</v>
      </c>
      <c r="H86" s="2">
        <v>11</v>
      </c>
      <c r="I86" s="2" t="s">
        <v>14</v>
      </c>
    </row>
    <row r="87" spans="1:9">
      <c r="A87" s="3" t="s">
        <v>190</v>
      </c>
      <c r="B87" s="3" t="s">
        <v>50</v>
      </c>
      <c r="C87" s="3" t="s">
        <v>51</v>
      </c>
      <c r="D87" s="3">
        <v>174</v>
      </c>
      <c r="E87" s="3" t="s">
        <v>145</v>
      </c>
      <c r="F87" s="3" t="s">
        <v>168</v>
      </c>
      <c r="G87" s="3" t="s">
        <v>23</v>
      </c>
      <c r="H87" s="3">
        <v>15</v>
      </c>
      <c r="I87" s="3" t="s">
        <v>14</v>
      </c>
    </row>
    <row r="88" spans="1:9">
      <c r="A88" s="2" t="s">
        <v>191</v>
      </c>
      <c r="B88" s="2" t="s">
        <v>53</v>
      </c>
      <c r="C88" s="2" t="s">
        <v>51</v>
      </c>
      <c r="D88" s="2">
        <v>32</v>
      </c>
      <c r="E88" s="2" t="s">
        <v>158</v>
      </c>
      <c r="F88" s="2" t="s">
        <v>147</v>
      </c>
      <c r="G88" s="2" t="s">
        <v>23</v>
      </c>
      <c r="H88" s="2">
        <v>9</v>
      </c>
      <c r="I88" s="2" t="s">
        <v>18</v>
      </c>
    </row>
    <row r="89" spans="1:9">
      <c r="A89" s="3" t="s">
        <v>192</v>
      </c>
      <c r="B89" s="3" t="s">
        <v>56</v>
      </c>
      <c r="C89" s="3" t="s">
        <v>57</v>
      </c>
      <c r="D89" s="3">
        <v>159</v>
      </c>
      <c r="E89" s="3" t="s">
        <v>151</v>
      </c>
      <c r="F89" s="3" t="s">
        <v>149</v>
      </c>
      <c r="G89" s="3" t="s">
        <v>23</v>
      </c>
      <c r="H89" s="3">
        <v>12</v>
      </c>
      <c r="I89" s="3" t="s">
        <v>14</v>
      </c>
    </row>
    <row r="90" spans="1:9">
      <c r="A90" s="2" t="s">
        <v>193</v>
      </c>
      <c r="B90" s="2" t="s">
        <v>59</v>
      </c>
      <c r="C90" s="2" t="s">
        <v>57</v>
      </c>
      <c r="D90" s="2">
        <v>72</v>
      </c>
      <c r="E90" s="2" t="s">
        <v>175</v>
      </c>
      <c r="F90" s="2" t="s">
        <v>194</v>
      </c>
      <c r="G90" s="2" t="s">
        <v>23</v>
      </c>
      <c r="H90" s="2">
        <v>8</v>
      </c>
      <c r="I90" s="2" t="s">
        <v>18</v>
      </c>
    </row>
    <row r="91" spans="1:9">
      <c r="A91" s="3" t="s">
        <v>195</v>
      </c>
      <c r="B91" s="3" t="s">
        <v>62</v>
      </c>
      <c r="C91" s="3" t="s">
        <v>57</v>
      </c>
      <c r="D91" s="3">
        <v>28</v>
      </c>
      <c r="E91" s="3" t="s">
        <v>185</v>
      </c>
      <c r="F91" s="3"/>
      <c r="G91" s="3" t="s">
        <v>54</v>
      </c>
      <c r="H91" s="3"/>
      <c r="I91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sqref="A1:J2"/>
    </sheetView>
  </sheetViews>
  <sheetFormatPr defaultRowHeight="15"/>
  <cols>
    <col min="1" max="9" width="14" customWidth="1"/>
  </cols>
  <sheetData>
    <row r="1" spans="1:10" ht="21.95" customHeight="1">
      <c r="A1" s="40" t="s">
        <v>196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1.9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18" customHeight="1">
      <c r="A3" s="56" t="s">
        <v>197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9.9499999999999993" customHeight="1"/>
    <row r="5" spans="1:10" ht="39.950000000000003" customHeight="1">
      <c r="A5" s="62" t="s">
        <v>198</v>
      </c>
      <c r="B5" s="41"/>
      <c r="C5" s="45" t="s">
        <v>23</v>
      </c>
      <c r="D5" s="41"/>
      <c r="E5" s="46" t="s">
        <v>199</v>
      </c>
      <c r="F5" s="41"/>
      <c r="G5" s="63" t="s">
        <v>54</v>
      </c>
      <c r="H5" s="41"/>
    </row>
    <row r="6" spans="1:10" ht="45" customHeight="1">
      <c r="A6" s="47">
        <f>COUNTA(Inventory_Data!G2:G10000)</f>
        <v>90</v>
      </c>
      <c r="B6" s="41"/>
      <c r="C6" s="42">
        <f>COUNTIF(Inventory_Data!G2:G10000,"Delivered")</f>
        <v>54</v>
      </c>
      <c r="D6" s="41"/>
      <c r="E6" s="55">
        <f>COUNTIF(Inventory_Data!G2:G10000,"Pending")+COUNTIF(Inventory_Data!G2:G10000,"In Transit")</f>
        <v>32</v>
      </c>
      <c r="F6" s="41"/>
      <c r="G6" s="52">
        <f>COUNTIF(Inventory_Data!G2:G10000,"Cancelled")</f>
        <v>4</v>
      </c>
      <c r="H6" s="41"/>
    </row>
    <row r="7" spans="1:10" ht="24.95" customHeight="1">
      <c r="A7" s="43"/>
      <c r="B7" s="41"/>
      <c r="C7" s="44"/>
      <c r="D7" s="41"/>
      <c r="E7" s="64"/>
      <c r="F7" s="41"/>
      <c r="G7" s="49"/>
      <c r="H7" s="41"/>
    </row>
    <row r="8" spans="1:10" ht="8.1" customHeight="1"/>
    <row r="9" spans="1:10" ht="35.1" customHeight="1">
      <c r="A9" s="58" t="s">
        <v>200</v>
      </c>
      <c r="B9" s="41"/>
      <c r="C9" s="53" t="s">
        <v>201</v>
      </c>
      <c r="D9" s="41"/>
      <c r="E9" s="54" t="s">
        <v>202</v>
      </c>
      <c r="F9" s="41"/>
      <c r="G9" s="59" t="s">
        <v>203</v>
      </c>
      <c r="H9" s="41"/>
    </row>
    <row r="10" spans="1:10" ht="42" customHeight="1">
      <c r="A10" s="57">
        <f>IFERROR(AVERAGEIF(Inventory_Data!G2:G10000,"Delivered",Inventory_Data!H2:H10000),0)</f>
        <v>8.4074074074074066</v>
      </c>
      <c r="B10" s="41"/>
      <c r="C10" s="48">
        <f>COUNTIF(Inventory_Data!I2:I10000,"Low Stock")</f>
        <v>17</v>
      </c>
      <c r="D10" s="41"/>
      <c r="E10" s="50">
        <f>COUNTIF(Inventory_Data!I2:I10000,"Overstocked")</f>
        <v>28</v>
      </c>
      <c r="F10" s="41"/>
      <c r="G10" s="51">
        <f>COUNTIF(Inventory_Data!I2:I10000,"Optimal")</f>
        <v>45</v>
      </c>
      <c r="H10" s="41"/>
    </row>
    <row r="11" spans="1:10" ht="8.1" customHeight="1">
      <c r="A11" s="43"/>
      <c r="B11" s="41"/>
      <c r="C11" s="60"/>
      <c r="D11" s="41"/>
      <c r="E11" s="61"/>
      <c r="F11" s="41"/>
      <c r="G11" s="44"/>
      <c r="H11" s="41"/>
    </row>
  </sheetData>
  <mergeCells count="26">
    <mergeCell ref="A3:J3"/>
    <mergeCell ref="A10:B10"/>
    <mergeCell ref="A9:B9"/>
    <mergeCell ref="G9:H9"/>
    <mergeCell ref="C11:D11"/>
    <mergeCell ref="E11:F11"/>
    <mergeCell ref="A5:B5"/>
    <mergeCell ref="G5:H5"/>
    <mergeCell ref="C7:D7"/>
    <mergeCell ref="E7:F7"/>
    <mergeCell ref="A1:J2"/>
    <mergeCell ref="C6:D6"/>
    <mergeCell ref="A11:B11"/>
    <mergeCell ref="G11:H11"/>
    <mergeCell ref="C5:D5"/>
    <mergeCell ref="E5:F5"/>
    <mergeCell ref="A6:B6"/>
    <mergeCell ref="C10:D10"/>
    <mergeCell ref="A7:B7"/>
    <mergeCell ref="G7:H7"/>
    <mergeCell ref="E10:F10"/>
    <mergeCell ref="G10:H10"/>
    <mergeCell ref="G6:H6"/>
    <mergeCell ref="C9:D9"/>
    <mergeCell ref="E9:F9"/>
    <mergeCell ref="E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selection sqref="A1:L2"/>
    </sheetView>
  </sheetViews>
  <sheetFormatPr defaultRowHeight="15"/>
  <cols>
    <col min="1" max="7" width="20" customWidth="1"/>
  </cols>
  <sheetData>
    <row r="1" spans="1:12" ht="21.95" customHeight="1">
      <c r="A1" s="65" t="s">
        <v>204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1.9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ht="8.1" customHeight="1"/>
    <row r="5" spans="1:12" ht="27.95" customHeight="1">
      <c r="A5" s="4" t="s">
        <v>2</v>
      </c>
      <c r="B5" s="4" t="s">
        <v>198</v>
      </c>
      <c r="C5" s="4" t="s">
        <v>23</v>
      </c>
      <c r="D5" s="4" t="s">
        <v>205</v>
      </c>
      <c r="E5" s="4" t="s">
        <v>206</v>
      </c>
      <c r="F5" s="4" t="s">
        <v>200</v>
      </c>
    </row>
    <row r="6" spans="1:12" ht="21.95" customHeight="1">
      <c r="A6" s="2" t="s">
        <v>11</v>
      </c>
      <c r="B6" s="2">
        <v>180</v>
      </c>
      <c r="C6" s="2">
        <v>99</v>
      </c>
      <c r="D6" s="2">
        <v>55</v>
      </c>
      <c r="E6" s="2">
        <v>85</v>
      </c>
      <c r="F6" s="2">
        <v>6</v>
      </c>
    </row>
    <row r="7" spans="1:12" ht="21.95" customHeight="1">
      <c r="A7" s="3" t="s">
        <v>31</v>
      </c>
      <c r="B7" s="3">
        <v>150</v>
      </c>
      <c r="C7" s="3">
        <v>82</v>
      </c>
      <c r="D7" s="3">
        <v>54.7</v>
      </c>
      <c r="E7" s="3">
        <v>120</v>
      </c>
      <c r="F7" s="3">
        <v>4</v>
      </c>
    </row>
    <row r="8" spans="1:12" ht="21.95" customHeight="1">
      <c r="A8" s="2" t="s">
        <v>41</v>
      </c>
      <c r="B8" s="2">
        <v>90</v>
      </c>
      <c r="C8" s="2">
        <v>48</v>
      </c>
      <c r="D8" s="2">
        <v>53.3</v>
      </c>
      <c r="E8" s="2">
        <v>45</v>
      </c>
      <c r="F8" s="2">
        <v>9</v>
      </c>
    </row>
    <row r="9" spans="1:12" ht="21.95" customHeight="1">
      <c r="A9" s="3" t="s">
        <v>51</v>
      </c>
      <c r="B9" s="3">
        <v>60</v>
      </c>
      <c r="C9" s="3">
        <v>35</v>
      </c>
      <c r="D9" s="3">
        <v>58.3</v>
      </c>
      <c r="E9" s="3">
        <v>70</v>
      </c>
      <c r="F9" s="3">
        <v>3</v>
      </c>
    </row>
    <row r="10" spans="1:12" ht="21.95" customHeight="1">
      <c r="A10" s="2" t="s">
        <v>57</v>
      </c>
      <c r="B10" s="2">
        <v>90</v>
      </c>
      <c r="C10" s="2">
        <v>51</v>
      </c>
      <c r="D10" s="2">
        <v>56.7</v>
      </c>
      <c r="E10" s="2">
        <v>95</v>
      </c>
      <c r="F10" s="2">
        <v>5</v>
      </c>
    </row>
    <row r="11" spans="1:12" ht="24" customHeight="1">
      <c r="A11" s="1" t="s">
        <v>207</v>
      </c>
      <c r="B11" s="1">
        <f>SUM(B6:B10)</f>
        <v>570</v>
      </c>
      <c r="C11" s="1">
        <f>SUM(C6:C10)</f>
        <v>315</v>
      </c>
      <c r="D11" s="1">
        <f>IFERROR(C11/B11*100,0)</f>
        <v>55.26315789473685</v>
      </c>
      <c r="E11" s="1">
        <f>AVERAGE(E6:E10)</f>
        <v>83</v>
      </c>
      <c r="F11" s="1">
        <f>AVERAGE(F6:F10)</f>
        <v>5.4</v>
      </c>
    </row>
    <row r="12" spans="1:12" ht="4.5" customHeight="1"/>
    <row r="13" spans="1:12" ht="7.5" hidden="1" customHeight="1"/>
    <row r="14" spans="1:12" ht="27.95" customHeight="1">
      <c r="A14" s="5" t="s">
        <v>208</v>
      </c>
      <c r="B14" s="5" t="s">
        <v>209</v>
      </c>
      <c r="C14" s="5" t="s">
        <v>210</v>
      </c>
    </row>
    <row r="15" spans="1:12" ht="20.100000000000001" customHeight="1">
      <c r="A15" s="3" t="s">
        <v>23</v>
      </c>
      <c r="B15" s="3">
        <v>315</v>
      </c>
      <c r="C15" s="3">
        <v>55.3</v>
      </c>
    </row>
    <row r="16" spans="1:12" ht="20.100000000000001" customHeight="1">
      <c r="A16" s="2" t="s">
        <v>13</v>
      </c>
      <c r="B16" s="2">
        <v>114</v>
      </c>
      <c r="C16" s="2">
        <v>20</v>
      </c>
    </row>
    <row r="17" spans="1:3" ht="20.100000000000001" customHeight="1">
      <c r="A17" s="3" t="s">
        <v>90</v>
      </c>
      <c r="B17" s="3">
        <v>86</v>
      </c>
      <c r="C17" s="3">
        <v>15.1</v>
      </c>
    </row>
    <row r="18" spans="1:3" ht="13.5" customHeight="1">
      <c r="A18" s="2" t="s">
        <v>54</v>
      </c>
      <c r="B18" s="2">
        <v>55</v>
      </c>
      <c r="C18" s="2">
        <v>9.6</v>
      </c>
    </row>
  </sheetData>
  <mergeCells count="1">
    <mergeCell ref="A1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zoomScale="96" zoomScaleNormal="96" workbookViewId="0">
      <selection sqref="A1:H2"/>
    </sheetView>
  </sheetViews>
  <sheetFormatPr defaultRowHeight="15"/>
  <cols>
    <col min="1" max="1" width="14.5703125" customWidth="1"/>
    <col min="2" max="2" width="18" customWidth="1"/>
    <col min="3" max="3" width="14" customWidth="1"/>
    <col min="4" max="4" width="17.7109375" customWidth="1"/>
    <col min="5" max="6" width="17.85546875" customWidth="1"/>
    <col min="7" max="7" width="17.28515625" customWidth="1"/>
    <col min="8" max="8" width="20.5703125" customWidth="1"/>
  </cols>
  <sheetData>
    <row r="1" spans="1:8" ht="21.95" customHeight="1">
      <c r="A1" s="65" t="s">
        <v>211</v>
      </c>
      <c r="B1" s="41"/>
      <c r="C1" s="41"/>
      <c r="D1" s="41"/>
      <c r="E1" s="41"/>
      <c r="F1" s="41"/>
      <c r="G1" s="41"/>
      <c r="H1" s="41"/>
    </row>
    <row r="2" spans="1:8" ht="21.95" customHeight="1">
      <c r="A2" s="41"/>
      <c r="B2" s="41"/>
      <c r="C2" s="41"/>
      <c r="D2" s="41"/>
      <c r="E2" s="41"/>
      <c r="F2" s="41"/>
      <c r="G2" s="41"/>
      <c r="H2" s="41"/>
    </row>
    <row r="4" spans="1:8" ht="26.1" customHeight="1">
      <c r="A4" s="4" t="s">
        <v>0</v>
      </c>
      <c r="B4" s="4" t="s">
        <v>1</v>
      </c>
      <c r="C4" s="4" t="s">
        <v>2</v>
      </c>
      <c r="D4" s="4" t="s">
        <v>4</v>
      </c>
      <c r="E4" s="4" t="s">
        <v>5</v>
      </c>
      <c r="F4" s="4" t="s">
        <v>7</v>
      </c>
      <c r="G4" s="4" t="s">
        <v>6</v>
      </c>
      <c r="H4" s="4" t="s">
        <v>212</v>
      </c>
    </row>
    <row r="5" spans="1:8" ht="20.100000000000001" customHeight="1">
      <c r="A5" s="3" t="s">
        <v>19</v>
      </c>
      <c r="B5" s="3" t="s">
        <v>20</v>
      </c>
      <c r="C5" s="3" t="s">
        <v>11</v>
      </c>
      <c r="D5" s="3" t="s">
        <v>21</v>
      </c>
      <c r="E5" s="3" t="s">
        <v>22</v>
      </c>
      <c r="F5" s="3">
        <v>15</v>
      </c>
      <c r="G5" s="3" t="s">
        <v>23</v>
      </c>
      <c r="H5" s="6" t="s">
        <v>213</v>
      </c>
    </row>
    <row r="6" spans="1:8" ht="20.100000000000001" customHeight="1">
      <c r="A6" s="2" t="s">
        <v>24</v>
      </c>
      <c r="B6" s="2" t="s">
        <v>25</v>
      </c>
      <c r="C6" s="2" t="s">
        <v>11</v>
      </c>
      <c r="D6" s="2" t="s">
        <v>26</v>
      </c>
      <c r="E6" s="2" t="s">
        <v>27</v>
      </c>
      <c r="F6" s="2">
        <v>2</v>
      </c>
      <c r="G6" s="2" t="s">
        <v>23</v>
      </c>
      <c r="H6" s="7" t="s">
        <v>214</v>
      </c>
    </row>
    <row r="7" spans="1:8" ht="20.100000000000001" customHeight="1">
      <c r="A7" s="3" t="s">
        <v>29</v>
      </c>
      <c r="B7" s="3" t="s">
        <v>30</v>
      </c>
      <c r="C7" s="3" t="s">
        <v>31</v>
      </c>
      <c r="D7" s="3" t="s">
        <v>26</v>
      </c>
      <c r="E7" s="3" t="s">
        <v>32</v>
      </c>
      <c r="F7" s="3">
        <v>9</v>
      </c>
      <c r="G7" s="3" t="s">
        <v>23</v>
      </c>
      <c r="H7" s="6" t="s">
        <v>213</v>
      </c>
    </row>
    <row r="8" spans="1:8" ht="20.100000000000001" customHeight="1">
      <c r="A8" s="2" t="s">
        <v>33</v>
      </c>
      <c r="B8" s="2" t="s">
        <v>34</v>
      </c>
      <c r="C8" s="2" t="s">
        <v>31</v>
      </c>
      <c r="D8" s="2" t="s">
        <v>27</v>
      </c>
      <c r="E8" s="2" t="s">
        <v>22</v>
      </c>
      <c r="F8" s="2">
        <v>7</v>
      </c>
      <c r="G8" s="2" t="s">
        <v>23</v>
      </c>
      <c r="H8" s="7" t="s">
        <v>214</v>
      </c>
    </row>
    <row r="9" spans="1:8" ht="20.100000000000001" customHeight="1">
      <c r="A9" s="3" t="s">
        <v>35</v>
      </c>
      <c r="B9" s="3" t="s">
        <v>36</v>
      </c>
      <c r="C9" s="3" t="s">
        <v>31</v>
      </c>
      <c r="D9" s="3" t="s">
        <v>37</v>
      </c>
      <c r="E9" s="3" t="s">
        <v>38</v>
      </c>
      <c r="F9" s="3">
        <v>14</v>
      </c>
      <c r="G9" s="3" t="s">
        <v>23</v>
      </c>
      <c r="H9" s="6" t="s">
        <v>213</v>
      </c>
    </row>
    <row r="10" spans="1:8" ht="20.100000000000001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27</v>
      </c>
      <c r="F10" s="2">
        <v>6</v>
      </c>
      <c r="G10" s="2" t="s">
        <v>23</v>
      </c>
      <c r="H10" s="7" t="s">
        <v>214</v>
      </c>
    </row>
    <row r="11" spans="1:8" ht="20.100000000000001" customHeight="1">
      <c r="A11" s="3" t="s">
        <v>43</v>
      </c>
      <c r="B11" s="3" t="s">
        <v>44</v>
      </c>
      <c r="C11" s="3" t="s">
        <v>41</v>
      </c>
      <c r="D11" s="3" t="s">
        <v>45</v>
      </c>
      <c r="E11" s="3" t="s">
        <v>46</v>
      </c>
      <c r="F11" s="3">
        <v>2</v>
      </c>
      <c r="G11" s="3" t="s">
        <v>23</v>
      </c>
      <c r="H11" s="7" t="s">
        <v>214</v>
      </c>
    </row>
    <row r="12" spans="1:8" ht="20.100000000000001" customHeight="1">
      <c r="A12" s="2" t="s">
        <v>49</v>
      </c>
      <c r="B12" s="2" t="s">
        <v>50</v>
      </c>
      <c r="C12" s="2" t="s">
        <v>51</v>
      </c>
      <c r="D12" s="2" t="s">
        <v>21</v>
      </c>
      <c r="E12" s="2" t="s">
        <v>22</v>
      </c>
      <c r="F12" s="2">
        <v>8</v>
      </c>
      <c r="G12" s="2" t="s">
        <v>23</v>
      </c>
      <c r="H12" s="6" t="s">
        <v>213</v>
      </c>
    </row>
    <row r="13" spans="1:8" ht="20.100000000000001" customHeight="1">
      <c r="A13" s="3" t="s">
        <v>61</v>
      </c>
      <c r="B13" s="3" t="s">
        <v>62</v>
      </c>
      <c r="C13" s="3" t="s">
        <v>57</v>
      </c>
      <c r="D13" s="3" t="s">
        <v>60</v>
      </c>
      <c r="E13" s="3" t="s">
        <v>63</v>
      </c>
      <c r="F13" s="3">
        <v>14</v>
      </c>
      <c r="G13" s="3" t="s">
        <v>23</v>
      </c>
      <c r="H13" s="6" t="s">
        <v>213</v>
      </c>
    </row>
    <row r="14" spans="1:8" ht="20.100000000000001" customHeight="1">
      <c r="A14" s="2" t="s">
        <v>66</v>
      </c>
      <c r="B14" s="2" t="s">
        <v>16</v>
      </c>
      <c r="C14" s="2" t="s">
        <v>11</v>
      </c>
      <c r="D14" s="2" t="s">
        <v>67</v>
      </c>
      <c r="E14" s="2" t="s">
        <v>22</v>
      </c>
      <c r="F14" s="2">
        <v>6</v>
      </c>
      <c r="G14" s="2" t="s">
        <v>23</v>
      </c>
      <c r="H14" s="7" t="s">
        <v>214</v>
      </c>
    </row>
    <row r="15" spans="1:8" ht="20.100000000000001" customHeight="1">
      <c r="A15" s="3" t="s">
        <v>70</v>
      </c>
      <c r="B15" s="3" t="s">
        <v>25</v>
      </c>
      <c r="C15" s="3" t="s">
        <v>11</v>
      </c>
      <c r="D15" s="3" t="s">
        <v>71</v>
      </c>
      <c r="E15" s="3" t="s">
        <v>21</v>
      </c>
      <c r="F15" s="3">
        <v>11</v>
      </c>
      <c r="G15" s="3" t="s">
        <v>23</v>
      </c>
      <c r="H15" s="6" t="s">
        <v>213</v>
      </c>
    </row>
    <row r="16" spans="1:8" ht="20.100000000000001" customHeight="1">
      <c r="A16" s="2" t="s">
        <v>72</v>
      </c>
      <c r="B16" s="2" t="s">
        <v>30</v>
      </c>
      <c r="C16" s="2" t="s">
        <v>31</v>
      </c>
      <c r="D16" s="2" t="s">
        <v>46</v>
      </c>
      <c r="E16" s="2" t="s">
        <v>37</v>
      </c>
      <c r="F16" s="2">
        <v>7</v>
      </c>
      <c r="G16" s="2" t="s">
        <v>23</v>
      </c>
      <c r="H16" s="7" t="s">
        <v>214</v>
      </c>
    </row>
    <row r="17" spans="1:8" ht="20.100000000000001" customHeight="1">
      <c r="A17" s="3" t="s">
        <v>74</v>
      </c>
      <c r="B17" s="3" t="s">
        <v>36</v>
      </c>
      <c r="C17" s="3" t="s">
        <v>31</v>
      </c>
      <c r="D17" s="3" t="s">
        <v>17</v>
      </c>
      <c r="E17" s="3" t="s">
        <v>75</v>
      </c>
      <c r="F17" s="3">
        <v>14</v>
      </c>
      <c r="G17" s="3" t="s">
        <v>23</v>
      </c>
      <c r="H17" s="6" t="s">
        <v>213</v>
      </c>
    </row>
    <row r="18" spans="1:8" ht="20.100000000000001" customHeight="1">
      <c r="A18" s="2" t="s">
        <v>76</v>
      </c>
      <c r="B18" s="2" t="s">
        <v>40</v>
      </c>
      <c r="C18" s="2" t="s">
        <v>41</v>
      </c>
      <c r="D18" s="2" t="s">
        <v>65</v>
      </c>
      <c r="E18" s="2" t="s">
        <v>22</v>
      </c>
      <c r="F18" s="2">
        <v>2</v>
      </c>
      <c r="G18" s="2" t="s">
        <v>23</v>
      </c>
      <c r="H18" s="7" t="s">
        <v>214</v>
      </c>
    </row>
    <row r="19" spans="1:8" ht="20.100000000000001" customHeight="1">
      <c r="A19" s="3" t="s">
        <v>78</v>
      </c>
      <c r="B19" s="3" t="s">
        <v>48</v>
      </c>
      <c r="C19" s="3" t="s">
        <v>41</v>
      </c>
      <c r="D19" s="3" t="s">
        <v>79</v>
      </c>
      <c r="E19" s="3" t="s">
        <v>69</v>
      </c>
      <c r="F19" s="3">
        <v>8</v>
      </c>
      <c r="G19" s="3" t="s">
        <v>23</v>
      </c>
      <c r="H19" s="6" t="s">
        <v>213</v>
      </c>
    </row>
    <row r="20" spans="1:8" ht="20.100000000000001" customHeight="1">
      <c r="A20" s="2" t="s">
        <v>80</v>
      </c>
      <c r="B20" s="2" t="s">
        <v>50</v>
      </c>
      <c r="C20" s="2" t="s">
        <v>51</v>
      </c>
      <c r="D20" s="2" t="s">
        <v>21</v>
      </c>
      <c r="E20" s="2" t="s">
        <v>22</v>
      </c>
      <c r="F20" s="2">
        <v>9</v>
      </c>
      <c r="G20" s="2" t="s">
        <v>23</v>
      </c>
      <c r="H20" s="6" t="s">
        <v>213</v>
      </c>
    </row>
    <row r="21" spans="1:8" ht="20.100000000000001" customHeight="1">
      <c r="A21" s="3" t="s">
        <v>81</v>
      </c>
      <c r="B21" s="3" t="s">
        <v>53</v>
      </c>
      <c r="C21" s="3" t="s">
        <v>51</v>
      </c>
      <c r="D21" s="3" t="s">
        <v>82</v>
      </c>
      <c r="E21" s="3" t="s">
        <v>83</v>
      </c>
      <c r="F21" s="3">
        <v>6</v>
      </c>
      <c r="G21" s="3" t="s">
        <v>23</v>
      </c>
      <c r="H21" s="7" t="s">
        <v>214</v>
      </c>
    </row>
    <row r="22" spans="1:8" ht="20.100000000000001" customHeight="1">
      <c r="A22" s="2" t="s">
        <v>85</v>
      </c>
      <c r="B22" s="2" t="s">
        <v>59</v>
      </c>
      <c r="C22" s="2" t="s">
        <v>57</v>
      </c>
      <c r="D22" s="2" t="s">
        <v>86</v>
      </c>
      <c r="E22" s="2" t="s">
        <v>38</v>
      </c>
      <c r="F22" s="2">
        <v>11</v>
      </c>
      <c r="G22" s="2" t="s">
        <v>23</v>
      </c>
      <c r="H22" s="6" t="s">
        <v>213</v>
      </c>
    </row>
    <row r="23" spans="1:8" ht="20.100000000000001" customHeight="1">
      <c r="A23" s="3" t="s">
        <v>87</v>
      </c>
      <c r="B23" s="3" t="s">
        <v>62</v>
      </c>
      <c r="C23" s="3" t="s">
        <v>57</v>
      </c>
      <c r="D23" s="3" t="s">
        <v>71</v>
      </c>
      <c r="E23" s="3" t="s">
        <v>22</v>
      </c>
      <c r="F23" s="3">
        <v>2</v>
      </c>
      <c r="G23" s="3" t="s">
        <v>23</v>
      </c>
      <c r="H23" s="7" t="s">
        <v>214</v>
      </c>
    </row>
    <row r="24" spans="1:8" ht="20.100000000000001" customHeight="1">
      <c r="A24" s="2" t="s">
        <v>91</v>
      </c>
      <c r="B24" s="2" t="s">
        <v>16</v>
      </c>
      <c r="C24" s="2" t="s">
        <v>11</v>
      </c>
      <c r="D24" s="2" t="s">
        <v>92</v>
      </c>
      <c r="E24" s="2" t="s">
        <v>93</v>
      </c>
      <c r="F24" s="2">
        <v>12</v>
      </c>
      <c r="G24" s="2" t="s">
        <v>23</v>
      </c>
      <c r="H24" s="6" t="s">
        <v>213</v>
      </c>
    </row>
    <row r="25" spans="1:8" ht="20.100000000000001" customHeight="1">
      <c r="A25" s="3" t="s">
        <v>95</v>
      </c>
      <c r="B25" s="3" t="s">
        <v>25</v>
      </c>
      <c r="C25" s="3" t="s">
        <v>11</v>
      </c>
      <c r="D25" s="3" t="s">
        <v>96</v>
      </c>
      <c r="E25" s="3" t="s">
        <v>97</v>
      </c>
      <c r="F25" s="3">
        <v>7</v>
      </c>
      <c r="G25" s="3" t="s">
        <v>23</v>
      </c>
      <c r="H25" s="7" t="s">
        <v>214</v>
      </c>
    </row>
    <row r="26" spans="1:8" ht="20.100000000000001" customHeight="1">
      <c r="A26" s="2" t="s">
        <v>103</v>
      </c>
      <c r="B26" s="2" t="s">
        <v>40</v>
      </c>
      <c r="C26" s="2" t="s">
        <v>41</v>
      </c>
      <c r="D26" s="2" t="s">
        <v>104</v>
      </c>
      <c r="E26" s="2" t="s">
        <v>105</v>
      </c>
      <c r="F26" s="2">
        <v>3</v>
      </c>
      <c r="G26" s="2" t="s">
        <v>23</v>
      </c>
      <c r="H26" s="7" t="s">
        <v>214</v>
      </c>
    </row>
    <row r="27" spans="1:8" ht="20.100000000000001" customHeight="1">
      <c r="A27" s="3" t="s">
        <v>106</v>
      </c>
      <c r="B27" s="3" t="s">
        <v>44</v>
      </c>
      <c r="C27" s="3" t="s">
        <v>41</v>
      </c>
      <c r="D27" s="3" t="s">
        <v>107</v>
      </c>
      <c r="E27" s="3" t="s">
        <v>108</v>
      </c>
      <c r="F27" s="3">
        <v>15</v>
      </c>
      <c r="G27" s="3" t="s">
        <v>23</v>
      </c>
      <c r="H27" s="6" t="s">
        <v>213</v>
      </c>
    </row>
    <row r="28" spans="1:8" ht="20.100000000000001" customHeight="1">
      <c r="A28" s="2" t="s">
        <v>109</v>
      </c>
      <c r="B28" s="2" t="s">
        <v>48</v>
      </c>
      <c r="C28" s="2" t="s">
        <v>41</v>
      </c>
      <c r="D28" s="2" t="s">
        <v>97</v>
      </c>
      <c r="E28" s="2" t="s">
        <v>110</v>
      </c>
      <c r="F28" s="2">
        <v>8</v>
      </c>
      <c r="G28" s="2" t="s">
        <v>23</v>
      </c>
      <c r="H28" s="6" t="s">
        <v>213</v>
      </c>
    </row>
    <row r="29" spans="1:8" ht="20.100000000000001" customHeight="1">
      <c r="A29" s="3" t="s">
        <v>111</v>
      </c>
      <c r="B29" s="3" t="s">
        <v>50</v>
      </c>
      <c r="C29" s="3" t="s">
        <v>51</v>
      </c>
      <c r="D29" s="3" t="s">
        <v>112</v>
      </c>
      <c r="E29" s="3" t="s">
        <v>93</v>
      </c>
      <c r="F29" s="3">
        <v>1</v>
      </c>
      <c r="G29" s="3" t="s">
        <v>23</v>
      </c>
      <c r="H29" s="7" t="s">
        <v>214</v>
      </c>
    </row>
    <row r="30" spans="1:8" ht="20.100000000000001" customHeight="1">
      <c r="A30" s="2" t="s">
        <v>113</v>
      </c>
      <c r="B30" s="2" t="s">
        <v>53</v>
      </c>
      <c r="C30" s="2" t="s">
        <v>51</v>
      </c>
      <c r="D30" s="2" t="s">
        <v>114</v>
      </c>
      <c r="E30" s="2" t="s">
        <v>101</v>
      </c>
      <c r="F30" s="2">
        <v>12</v>
      </c>
      <c r="G30" s="2" t="s">
        <v>23</v>
      </c>
      <c r="H30" s="6" t="s">
        <v>213</v>
      </c>
    </row>
    <row r="31" spans="1:8" ht="20.100000000000001" customHeight="1">
      <c r="A31" s="3" t="s">
        <v>115</v>
      </c>
      <c r="B31" s="3" t="s">
        <v>56</v>
      </c>
      <c r="C31" s="3" t="s">
        <v>57</v>
      </c>
      <c r="D31" s="3" t="s">
        <v>116</v>
      </c>
      <c r="E31" s="3" t="s">
        <v>108</v>
      </c>
      <c r="F31" s="3">
        <v>13</v>
      </c>
      <c r="G31" s="3" t="s">
        <v>23</v>
      </c>
      <c r="H31" s="6" t="s">
        <v>213</v>
      </c>
    </row>
    <row r="32" spans="1:8" ht="20.100000000000001" customHeight="1">
      <c r="A32" s="2" t="s">
        <v>117</v>
      </c>
      <c r="B32" s="2" t="s">
        <v>59</v>
      </c>
      <c r="C32" s="2" t="s">
        <v>57</v>
      </c>
      <c r="D32" s="2" t="s">
        <v>101</v>
      </c>
      <c r="E32" s="2" t="s">
        <v>108</v>
      </c>
      <c r="F32" s="2">
        <v>5</v>
      </c>
      <c r="G32" s="2" t="s">
        <v>23</v>
      </c>
      <c r="H32" s="7" t="s">
        <v>214</v>
      </c>
    </row>
    <row r="33" spans="1:8" ht="20.100000000000001" customHeight="1">
      <c r="A33" s="3" t="s">
        <v>118</v>
      </c>
      <c r="B33" s="3" t="s">
        <v>62</v>
      </c>
      <c r="C33" s="3" t="s">
        <v>57</v>
      </c>
      <c r="D33" s="3" t="s">
        <v>104</v>
      </c>
      <c r="E33" s="3" t="s">
        <v>119</v>
      </c>
      <c r="F33" s="3">
        <v>15</v>
      </c>
      <c r="G33" s="3" t="s">
        <v>23</v>
      </c>
      <c r="H33" s="6" t="s">
        <v>213</v>
      </c>
    </row>
    <row r="34" spans="1:8" ht="20.100000000000001" customHeight="1">
      <c r="A34" s="2" t="s">
        <v>123</v>
      </c>
      <c r="B34" s="2" t="s">
        <v>20</v>
      </c>
      <c r="C34" s="2" t="s">
        <v>11</v>
      </c>
      <c r="D34" s="2" t="s">
        <v>124</v>
      </c>
      <c r="E34" s="2" t="s">
        <v>125</v>
      </c>
      <c r="F34" s="2">
        <v>4</v>
      </c>
      <c r="G34" s="2" t="s">
        <v>23</v>
      </c>
      <c r="H34" s="7" t="s">
        <v>214</v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>
      <selection activeCell="W26" sqref="W26"/>
    </sheetView>
  </sheetViews>
  <sheetFormatPr defaultRowHeight="15"/>
  <cols>
    <col min="1" max="1" width="12.140625" customWidth="1"/>
    <col min="2" max="2" width="9.5703125" customWidth="1"/>
    <col min="3" max="3" width="14.42578125" customWidth="1"/>
    <col min="4" max="4" width="8.85546875" customWidth="1"/>
    <col min="5" max="5" width="12.140625" customWidth="1"/>
    <col min="6" max="6" width="8.85546875" customWidth="1"/>
    <col min="7" max="7" width="0.140625" customWidth="1"/>
    <col min="8" max="8" width="10.85546875" hidden="1" customWidth="1"/>
    <col min="9" max="9" width="9" hidden="1" customWidth="1"/>
    <col min="10" max="10" width="19.42578125" hidden="1" customWidth="1"/>
    <col min="11" max="16" width="9" hidden="1" customWidth="1"/>
    <col min="17" max="17" width="9.42578125" customWidth="1"/>
  </cols>
  <sheetData>
    <row r="1" spans="1:16" ht="20.100000000000001" customHeight="1">
      <c r="A1" s="69" t="s">
        <v>215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20.100000000000001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9.75" customHeight="1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15.75" customHeight="1">
      <c r="A4" s="56" t="s">
        <v>216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6" ht="21" customHeight="1">
      <c r="A5" s="33" t="s">
        <v>226</v>
      </c>
      <c r="B5" s="33"/>
      <c r="C5" s="33"/>
      <c r="D5" s="33"/>
      <c r="E5" s="33"/>
      <c r="F5" s="33"/>
    </row>
    <row r="6" spans="1:16">
      <c r="A6" s="9" t="s">
        <v>198</v>
      </c>
      <c r="B6" s="10" t="s">
        <v>23</v>
      </c>
      <c r="C6" s="11" t="s">
        <v>227</v>
      </c>
      <c r="D6" s="12" t="s">
        <v>54</v>
      </c>
      <c r="E6" s="13" t="s">
        <v>228</v>
      </c>
      <c r="F6" s="14" t="s">
        <v>28</v>
      </c>
    </row>
    <row r="7" spans="1:16" ht="20.25">
      <c r="A7" s="15">
        <v>90</v>
      </c>
      <c r="B7" s="16">
        <v>54</v>
      </c>
      <c r="C7" s="17">
        <v>32</v>
      </c>
      <c r="D7" s="18">
        <v>4</v>
      </c>
      <c r="E7" s="19" t="s">
        <v>222</v>
      </c>
      <c r="F7" s="20">
        <v>17</v>
      </c>
    </row>
    <row r="8" spans="1:16">
      <c r="A8" s="33" t="s">
        <v>229</v>
      </c>
      <c r="B8" s="33"/>
      <c r="C8" s="33"/>
      <c r="D8" s="33"/>
      <c r="E8" s="33"/>
      <c r="F8" s="33"/>
    </row>
    <row r="9" spans="1:16">
      <c r="A9" s="30" t="s">
        <v>223</v>
      </c>
      <c r="B9" s="34"/>
      <c r="C9" s="31" t="s">
        <v>224</v>
      </c>
      <c r="D9" s="35"/>
      <c r="E9" s="32" t="s">
        <v>225</v>
      </c>
      <c r="F9" s="36"/>
    </row>
    <row r="10" spans="1:16" ht="30">
      <c r="A10" s="66">
        <v>17</v>
      </c>
      <c r="B10" s="66"/>
      <c r="C10" s="67">
        <v>28</v>
      </c>
      <c r="D10" s="67"/>
      <c r="E10" s="68">
        <v>45</v>
      </c>
      <c r="F10" s="68"/>
    </row>
    <row r="11" spans="1:16">
      <c r="A11" s="33" t="s">
        <v>230</v>
      </c>
      <c r="B11" s="33"/>
      <c r="C11" s="33"/>
      <c r="D11" s="33"/>
      <c r="E11" s="33"/>
      <c r="F11" s="33"/>
    </row>
    <row r="12" spans="1:16">
      <c r="A12" s="21" t="s">
        <v>208</v>
      </c>
      <c r="B12" s="21" t="s">
        <v>209</v>
      </c>
      <c r="C12" s="38" t="s">
        <v>231</v>
      </c>
    </row>
    <row r="13" spans="1:16">
      <c r="A13" s="22" t="s">
        <v>23</v>
      </c>
      <c r="B13" s="23">
        <v>54</v>
      </c>
      <c r="C13" s="24">
        <f>B13/90</f>
        <v>0.6</v>
      </c>
    </row>
    <row r="14" spans="1:16">
      <c r="A14" s="25" t="s">
        <v>13</v>
      </c>
      <c r="B14" s="26">
        <v>21</v>
      </c>
      <c r="C14" s="27">
        <f>B14/90</f>
        <v>0.23333333333333334</v>
      </c>
    </row>
    <row r="15" spans="1:16">
      <c r="A15" s="28" t="s">
        <v>90</v>
      </c>
      <c r="B15" s="23">
        <v>11</v>
      </c>
      <c r="C15" s="24">
        <f>B15/90</f>
        <v>0.12222222222222222</v>
      </c>
    </row>
    <row r="16" spans="1:16">
      <c r="A16" s="29" t="s">
        <v>54</v>
      </c>
      <c r="B16" s="26">
        <v>4</v>
      </c>
      <c r="C16" s="27">
        <f>B16/90</f>
        <v>4.4444444444444446E-2</v>
      </c>
    </row>
    <row r="17" spans="1:23">
      <c r="A17" s="39"/>
      <c r="B17" s="39"/>
      <c r="C17" s="39"/>
    </row>
    <row r="18" spans="1:23">
      <c r="A18" s="39"/>
      <c r="B18" s="39"/>
      <c r="C18" s="39"/>
    </row>
    <row r="19" spans="1:23">
      <c r="A19" s="39"/>
      <c r="B19" s="39"/>
      <c r="C19" s="39"/>
    </row>
    <row r="20" spans="1:23">
      <c r="A20" s="39"/>
      <c r="B20" s="39"/>
      <c r="C20" s="39"/>
    </row>
    <row r="21" spans="1:23">
      <c r="A21" s="39"/>
      <c r="B21" s="39"/>
      <c r="C21" s="39"/>
    </row>
    <row r="26" spans="1:23">
      <c r="W26" s="37" t="s">
        <v>232</v>
      </c>
    </row>
    <row r="37" ht="9.9499999999999993" customHeight="1"/>
    <row r="38" ht="27.95" customHeight="1"/>
    <row r="39" ht="30" customHeight="1"/>
    <row r="40" ht="45" customHeight="1"/>
    <row r="41" ht="9.9499999999999993" customHeight="1"/>
    <row r="79" ht="15" customHeight="1"/>
  </sheetData>
  <mergeCells count="5">
    <mergeCell ref="A10:B10"/>
    <mergeCell ref="C10:D10"/>
    <mergeCell ref="E10:F10"/>
    <mergeCell ref="A1:P3"/>
    <mergeCell ref="A4:P4"/>
  </mergeCells>
  <pageMargins left="0.75" right="0.75" top="1" bottom="1" header="0.5" footer="0.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zoomScale="85" zoomScaleNormal="85" workbookViewId="0">
      <selection activeCell="H1" sqref="H1"/>
    </sheetView>
  </sheetViews>
  <sheetFormatPr defaultRowHeight="15"/>
  <cols>
    <col min="1" max="1" width="14.5703125" customWidth="1"/>
    <col min="2" max="2" width="18" customWidth="1"/>
    <col min="3" max="3" width="14" customWidth="1"/>
    <col min="4" max="4" width="16" customWidth="1"/>
    <col min="5" max="5" width="14" customWidth="1"/>
    <col min="6" max="6" width="18" customWidth="1"/>
  </cols>
  <sheetData>
    <row r="1" spans="1:6" ht="21.95" customHeight="1">
      <c r="A1" s="65" t="s">
        <v>217</v>
      </c>
      <c r="B1" s="41"/>
      <c r="C1" s="41"/>
      <c r="D1" s="41"/>
      <c r="E1" s="41"/>
      <c r="F1" s="41"/>
    </row>
    <row r="2" spans="1:6" ht="21.95" customHeight="1">
      <c r="A2" s="41"/>
      <c r="B2" s="41"/>
      <c r="C2" s="41"/>
      <c r="D2" s="41"/>
      <c r="E2" s="41"/>
      <c r="F2" s="41"/>
    </row>
    <row r="4" spans="1:6" ht="26.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8</v>
      </c>
      <c r="F4" s="4" t="s">
        <v>218</v>
      </c>
    </row>
    <row r="5" spans="1:6" ht="20.100000000000001" customHeight="1">
      <c r="A5" s="3" t="s">
        <v>9</v>
      </c>
      <c r="B5" s="3" t="s">
        <v>10</v>
      </c>
      <c r="C5" s="3" t="s">
        <v>11</v>
      </c>
      <c r="D5" s="3">
        <v>168</v>
      </c>
      <c r="E5" s="8" t="s">
        <v>14</v>
      </c>
      <c r="F5" s="3" t="s">
        <v>219</v>
      </c>
    </row>
    <row r="6" spans="1:6" ht="20.100000000000001" customHeight="1">
      <c r="A6" s="2" t="s">
        <v>15</v>
      </c>
      <c r="B6" s="2" t="s">
        <v>16</v>
      </c>
      <c r="C6" s="2" t="s">
        <v>11</v>
      </c>
      <c r="D6" s="2">
        <v>67</v>
      </c>
      <c r="E6" s="7" t="s">
        <v>18</v>
      </c>
      <c r="F6" s="2" t="s">
        <v>220</v>
      </c>
    </row>
    <row r="7" spans="1:6" ht="20.100000000000001" customHeight="1">
      <c r="A7" s="3" t="s">
        <v>19</v>
      </c>
      <c r="B7" s="3" t="s">
        <v>20</v>
      </c>
      <c r="C7" s="3" t="s">
        <v>11</v>
      </c>
      <c r="D7" s="3">
        <v>178</v>
      </c>
      <c r="E7" s="8" t="s">
        <v>14</v>
      </c>
      <c r="F7" s="3" t="s">
        <v>219</v>
      </c>
    </row>
    <row r="8" spans="1:6" ht="20.100000000000001" customHeight="1">
      <c r="A8" s="2" t="s">
        <v>24</v>
      </c>
      <c r="B8" s="2" t="s">
        <v>25</v>
      </c>
      <c r="C8" s="2" t="s">
        <v>11</v>
      </c>
      <c r="D8" s="2">
        <v>13</v>
      </c>
      <c r="E8" s="6" t="s">
        <v>28</v>
      </c>
      <c r="F8" s="2" t="s">
        <v>221</v>
      </c>
    </row>
    <row r="9" spans="1:6" ht="20.100000000000001" customHeight="1">
      <c r="A9" s="3" t="s">
        <v>29</v>
      </c>
      <c r="B9" s="3" t="s">
        <v>30</v>
      </c>
      <c r="C9" s="3" t="s">
        <v>31</v>
      </c>
      <c r="D9" s="3">
        <v>159</v>
      </c>
      <c r="E9" s="8" t="s">
        <v>14</v>
      </c>
      <c r="F9" s="3" t="s">
        <v>219</v>
      </c>
    </row>
    <row r="10" spans="1:6" ht="20.100000000000001" customHeight="1">
      <c r="A10" s="2" t="s">
        <v>33</v>
      </c>
      <c r="B10" s="2" t="s">
        <v>34</v>
      </c>
      <c r="C10" s="2" t="s">
        <v>31</v>
      </c>
      <c r="D10" s="2">
        <v>184</v>
      </c>
      <c r="E10" s="8" t="s">
        <v>14</v>
      </c>
      <c r="F10" s="2" t="s">
        <v>219</v>
      </c>
    </row>
    <row r="11" spans="1:6" ht="20.100000000000001" customHeight="1">
      <c r="A11" s="3" t="s">
        <v>35</v>
      </c>
      <c r="B11" s="3" t="s">
        <v>36</v>
      </c>
      <c r="C11" s="3" t="s">
        <v>31</v>
      </c>
      <c r="D11" s="3">
        <v>76</v>
      </c>
      <c r="E11" s="7" t="s">
        <v>18</v>
      </c>
      <c r="F11" s="3" t="s">
        <v>220</v>
      </c>
    </row>
    <row r="12" spans="1:6" ht="20.100000000000001" customHeight="1">
      <c r="A12" s="2" t="s">
        <v>39</v>
      </c>
      <c r="B12" s="2" t="s">
        <v>40</v>
      </c>
      <c r="C12" s="2" t="s">
        <v>41</v>
      </c>
      <c r="D12" s="2">
        <v>183</v>
      </c>
      <c r="E12" s="8" t="s">
        <v>14</v>
      </c>
      <c r="F12" s="2" t="s">
        <v>219</v>
      </c>
    </row>
    <row r="13" spans="1:6" ht="20.100000000000001" customHeight="1">
      <c r="A13" s="3" t="s">
        <v>43</v>
      </c>
      <c r="B13" s="3" t="s">
        <v>44</v>
      </c>
      <c r="C13" s="3" t="s">
        <v>41</v>
      </c>
      <c r="D13" s="3">
        <v>200</v>
      </c>
      <c r="E13" s="8" t="s">
        <v>14</v>
      </c>
      <c r="F13" s="3" t="s">
        <v>219</v>
      </c>
    </row>
    <row r="14" spans="1:6" ht="20.100000000000001" customHeight="1">
      <c r="A14" s="2" t="s">
        <v>47</v>
      </c>
      <c r="B14" s="2" t="s">
        <v>48</v>
      </c>
      <c r="C14" s="2" t="s">
        <v>41</v>
      </c>
      <c r="D14" s="2">
        <v>96</v>
      </c>
      <c r="E14" s="7" t="s">
        <v>18</v>
      </c>
      <c r="F14" s="2" t="s">
        <v>220</v>
      </c>
    </row>
    <row r="15" spans="1:6" ht="20.100000000000001" customHeight="1">
      <c r="A15" s="3" t="s">
        <v>49</v>
      </c>
      <c r="B15" s="3" t="s">
        <v>50</v>
      </c>
      <c r="C15" s="3" t="s">
        <v>51</v>
      </c>
      <c r="D15" s="3">
        <v>16</v>
      </c>
      <c r="E15" s="6" t="s">
        <v>28</v>
      </c>
      <c r="F15" s="3" t="s">
        <v>221</v>
      </c>
    </row>
    <row r="16" spans="1:6" ht="20.100000000000001" customHeight="1">
      <c r="A16" s="2" t="s">
        <v>52</v>
      </c>
      <c r="B16" s="2" t="s">
        <v>53</v>
      </c>
      <c r="C16" s="2" t="s">
        <v>51</v>
      </c>
      <c r="D16" s="2">
        <v>25</v>
      </c>
      <c r="E16" s="6" t="s">
        <v>28</v>
      </c>
      <c r="F16" s="2" t="s">
        <v>221</v>
      </c>
    </row>
    <row r="17" spans="1:6" ht="20.100000000000001" customHeight="1">
      <c r="A17" s="3" t="s">
        <v>55</v>
      </c>
      <c r="B17" s="3" t="s">
        <v>56</v>
      </c>
      <c r="C17" s="3" t="s">
        <v>57</v>
      </c>
      <c r="D17" s="3">
        <v>163</v>
      </c>
      <c r="E17" s="8" t="s">
        <v>14</v>
      </c>
      <c r="F17" s="3" t="s">
        <v>219</v>
      </c>
    </row>
    <row r="18" spans="1:6" ht="20.100000000000001" customHeight="1">
      <c r="A18" s="2" t="s">
        <v>58</v>
      </c>
      <c r="B18" s="2" t="s">
        <v>59</v>
      </c>
      <c r="C18" s="2" t="s">
        <v>57</v>
      </c>
      <c r="D18" s="2">
        <v>185</v>
      </c>
      <c r="E18" s="8" t="s">
        <v>14</v>
      </c>
      <c r="F18" s="2" t="s">
        <v>219</v>
      </c>
    </row>
    <row r="19" spans="1:6" ht="20.100000000000001" customHeight="1">
      <c r="A19" s="3" t="s">
        <v>61</v>
      </c>
      <c r="B19" s="3" t="s">
        <v>62</v>
      </c>
      <c r="C19" s="3" t="s">
        <v>57</v>
      </c>
      <c r="D19" s="3">
        <v>79</v>
      </c>
      <c r="E19" s="7" t="s">
        <v>18</v>
      </c>
      <c r="F19" s="3" t="s">
        <v>220</v>
      </c>
    </row>
    <row r="20" spans="1:6" ht="20.100000000000001" customHeight="1">
      <c r="A20" s="2" t="s">
        <v>64</v>
      </c>
      <c r="B20" s="2" t="s">
        <v>10</v>
      </c>
      <c r="C20" s="2" t="s">
        <v>11</v>
      </c>
      <c r="D20" s="2">
        <v>102</v>
      </c>
      <c r="E20" s="7" t="s">
        <v>18</v>
      </c>
      <c r="F20" s="2" t="s">
        <v>220</v>
      </c>
    </row>
    <row r="21" spans="1:6" ht="20.100000000000001" customHeight="1">
      <c r="A21" s="3" t="s">
        <v>66</v>
      </c>
      <c r="B21" s="3" t="s">
        <v>16</v>
      </c>
      <c r="C21" s="3" t="s">
        <v>11</v>
      </c>
      <c r="D21" s="3">
        <v>98</v>
      </c>
      <c r="E21" s="7" t="s">
        <v>18</v>
      </c>
      <c r="F21" s="3" t="s">
        <v>220</v>
      </c>
    </row>
    <row r="22" spans="1:6" ht="20.100000000000001" customHeight="1">
      <c r="A22" s="2" t="s">
        <v>68</v>
      </c>
      <c r="B22" s="2" t="s">
        <v>20</v>
      </c>
      <c r="C22" s="2" t="s">
        <v>11</v>
      </c>
      <c r="D22" s="2">
        <v>73</v>
      </c>
      <c r="E22" s="7" t="s">
        <v>18</v>
      </c>
      <c r="F22" s="2" t="s">
        <v>220</v>
      </c>
    </row>
    <row r="23" spans="1:6" ht="20.100000000000001" customHeight="1">
      <c r="A23" s="3" t="s">
        <v>70</v>
      </c>
      <c r="B23" s="3" t="s">
        <v>25</v>
      </c>
      <c r="C23" s="3" t="s">
        <v>11</v>
      </c>
      <c r="D23" s="3">
        <v>23</v>
      </c>
      <c r="E23" s="6" t="s">
        <v>28</v>
      </c>
      <c r="F23" s="3" t="s">
        <v>221</v>
      </c>
    </row>
    <row r="24" spans="1:6" ht="20.100000000000001" customHeight="1">
      <c r="A24" s="2" t="s">
        <v>72</v>
      </c>
      <c r="B24" s="2" t="s">
        <v>30</v>
      </c>
      <c r="C24" s="2" t="s">
        <v>31</v>
      </c>
      <c r="D24" s="2">
        <v>46</v>
      </c>
      <c r="E24" s="7" t="s">
        <v>18</v>
      </c>
      <c r="F24" s="2" t="s">
        <v>220</v>
      </c>
    </row>
    <row r="25" spans="1:6" ht="20.100000000000001" customHeight="1">
      <c r="A25" s="3" t="s">
        <v>73</v>
      </c>
      <c r="B25" s="3" t="s">
        <v>34</v>
      </c>
      <c r="C25" s="3" t="s">
        <v>31</v>
      </c>
      <c r="D25" s="3">
        <v>181</v>
      </c>
      <c r="E25" s="8" t="s">
        <v>14</v>
      </c>
      <c r="F25" s="3" t="s">
        <v>219</v>
      </c>
    </row>
    <row r="26" spans="1:6" ht="20.100000000000001" customHeight="1">
      <c r="A26" s="2" t="s">
        <v>74</v>
      </c>
      <c r="B26" s="2" t="s">
        <v>36</v>
      </c>
      <c r="C26" s="2" t="s">
        <v>31</v>
      </c>
      <c r="D26" s="2">
        <v>19</v>
      </c>
      <c r="E26" s="6" t="s">
        <v>28</v>
      </c>
      <c r="F26" s="2" t="s">
        <v>221</v>
      </c>
    </row>
    <row r="27" spans="1:6" ht="20.100000000000001" customHeight="1">
      <c r="A27" s="3" t="s">
        <v>76</v>
      </c>
      <c r="B27" s="3" t="s">
        <v>40</v>
      </c>
      <c r="C27" s="3" t="s">
        <v>41</v>
      </c>
      <c r="D27" s="3">
        <v>107</v>
      </c>
      <c r="E27" s="7" t="s">
        <v>18</v>
      </c>
      <c r="F27" s="3" t="s">
        <v>220</v>
      </c>
    </row>
    <row r="28" spans="1:6" ht="20.100000000000001" customHeight="1">
      <c r="A28" s="2" t="s">
        <v>77</v>
      </c>
      <c r="B28" s="2" t="s">
        <v>44</v>
      </c>
      <c r="C28" s="2" t="s">
        <v>41</v>
      </c>
      <c r="D28" s="2">
        <v>188</v>
      </c>
      <c r="E28" s="8" t="s">
        <v>14</v>
      </c>
      <c r="F28" s="2" t="s">
        <v>219</v>
      </c>
    </row>
    <row r="29" spans="1:6" ht="20.100000000000001" customHeight="1">
      <c r="A29" s="3" t="s">
        <v>78</v>
      </c>
      <c r="B29" s="3" t="s">
        <v>48</v>
      </c>
      <c r="C29" s="3" t="s">
        <v>41</v>
      </c>
      <c r="D29" s="3">
        <v>106</v>
      </c>
      <c r="E29" s="7" t="s">
        <v>18</v>
      </c>
      <c r="F29" s="3" t="s">
        <v>220</v>
      </c>
    </row>
    <row r="30" spans="1:6" ht="20.100000000000001" customHeight="1">
      <c r="A30" s="2" t="s">
        <v>80</v>
      </c>
      <c r="B30" s="2" t="s">
        <v>50</v>
      </c>
      <c r="C30" s="2" t="s">
        <v>51</v>
      </c>
      <c r="D30" s="2">
        <v>68</v>
      </c>
      <c r="E30" s="7" t="s">
        <v>18</v>
      </c>
      <c r="F30" s="2" t="s">
        <v>220</v>
      </c>
    </row>
    <row r="31" spans="1:6" ht="20.100000000000001" customHeight="1">
      <c r="A31" s="3" t="s">
        <v>81</v>
      </c>
      <c r="B31" s="3" t="s">
        <v>53</v>
      </c>
      <c r="C31" s="3" t="s">
        <v>51</v>
      </c>
      <c r="D31" s="3">
        <v>154</v>
      </c>
      <c r="E31" s="8" t="s">
        <v>14</v>
      </c>
      <c r="F31" s="3" t="s">
        <v>219</v>
      </c>
    </row>
    <row r="32" spans="1:6" ht="20.100000000000001" customHeight="1">
      <c r="A32" s="2" t="s">
        <v>84</v>
      </c>
      <c r="B32" s="2" t="s">
        <v>56</v>
      </c>
      <c r="C32" s="2" t="s">
        <v>57</v>
      </c>
      <c r="D32" s="2">
        <v>135</v>
      </c>
      <c r="E32" s="7" t="s">
        <v>18</v>
      </c>
      <c r="F32" s="2" t="s">
        <v>220</v>
      </c>
    </row>
    <row r="33" spans="1:6" ht="20.100000000000001" customHeight="1">
      <c r="A33" s="3" t="s">
        <v>85</v>
      </c>
      <c r="B33" s="3" t="s">
        <v>59</v>
      </c>
      <c r="C33" s="3" t="s">
        <v>57</v>
      </c>
      <c r="D33" s="3">
        <v>33</v>
      </c>
      <c r="E33" s="7" t="s">
        <v>18</v>
      </c>
      <c r="F33" s="3" t="s">
        <v>220</v>
      </c>
    </row>
    <row r="34" spans="1:6" ht="20.100000000000001" customHeight="1">
      <c r="A34" s="2" t="s">
        <v>87</v>
      </c>
      <c r="B34" s="2" t="s">
        <v>62</v>
      </c>
      <c r="C34" s="2" t="s">
        <v>57</v>
      </c>
      <c r="D34" s="2">
        <v>113</v>
      </c>
      <c r="E34" s="7" t="s">
        <v>18</v>
      </c>
      <c r="F34" s="2" t="s">
        <v>220</v>
      </c>
    </row>
    <row r="35" spans="1:6" ht="20.100000000000001" customHeight="1">
      <c r="A35" s="3" t="s">
        <v>88</v>
      </c>
      <c r="B35" s="3" t="s">
        <v>10</v>
      </c>
      <c r="C35" s="3" t="s">
        <v>11</v>
      </c>
      <c r="D35" s="3">
        <v>140</v>
      </c>
      <c r="E35" s="7" t="s">
        <v>18</v>
      </c>
      <c r="F35" s="3" t="s">
        <v>220</v>
      </c>
    </row>
    <row r="36" spans="1:6" ht="20.100000000000001" customHeight="1">
      <c r="A36" s="2" t="s">
        <v>91</v>
      </c>
      <c r="B36" s="2" t="s">
        <v>16</v>
      </c>
      <c r="C36" s="2" t="s">
        <v>11</v>
      </c>
      <c r="D36" s="2">
        <v>7</v>
      </c>
      <c r="E36" s="6" t="s">
        <v>28</v>
      </c>
      <c r="F36" s="2" t="s">
        <v>221</v>
      </c>
    </row>
    <row r="37" spans="1:6" ht="20.100000000000001" customHeight="1">
      <c r="A37" s="3" t="s">
        <v>94</v>
      </c>
      <c r="B37" s="3" t="s">
        <v>20</v>
      </c>
      <c r="C37" s="3" t="s">
        <v>11</v>
      </c>
      <c r="D37" s="3">
        <v>197</v>
      </c>
      <c r="E37" s="8" t="s">
        <v>14</v>
      </c>
      <c r="F37" s="3" t="s">
        <v>219</v>
      </c>
    </row>
    <row r="38" spans="1:6" ht="20.100000000000001" customHeight="1">
      <c r="A38" s="2" t="s">
        <v>95</v>
      </c>
      <c r="B38" s="2" t="s">
        <v>25</v>
      </c>
      <c r="C38" s="2" t="s">
        <v>11</v>
      </c>
      <c r="D38" s="2">
        <v>33</v>
      </c>
      <c r="E38" s="7" t="s">
        <v>18</v>
      </c>
      <c r="F38" s="2" t="s">
        <v>220</v>
      </c>
    </row>
    <row r="39" spans="1:6" ht="20.100000000000001" customHeight="1">
      <c r="A39" s="3" t="s">
        <v>98</v>
      </c>
      <c r="B39" s="3" t="s">
        <v>30</v>
      </c>
      <c r="C39" s="3" t="s">
        <v>31</v>
      </c>
      <c r="D39" s="3">
        <v>189</v>
      </c>
      <c r="E39" s="8" t="s">
        <v>14</v>
      </c>
      <c r="F39" s="3" t="s">
        <v>219</v>
      </c>
    </row>
    <row r="40" spans="1:6" ht="20.100000000000001" customHeight="1">
      <c r="A40" s="2" t="s">
        <v>100</v>
      </c>
      <c r="B40" s="2" t="s">
        <v>34</v>
      </c>
      <c r="C40" s="2" t="s">
        <v>31</v>
      </c>
      <c r="D40" s="2">
        <v>200</v>
      </c>
      <c r="E40" s="8" t="s">
        <v>14</v>
      </c>
      <c r="F40" s="2" t="s">
        <v>219</v>
      </c>
    </row>
    <row r="41" spans="1:6" ht="20.100000000000001" customHeight="1">
      <c r="A41" s="3" t="s">
        <v>102</v>
      </c>
      <c r="B41" s="3" t="s">
        <v>36</v>
      </c>
      <c r="C41" s="3" t="s">
        <v>31</v>
      </c>
      <c r="D41" s="3">
        <v>165</v>
      </c>
      <c r="E41" s="8" t="s">
        <v>14</v>
      </c>
      <c r="F41" s="3" t="s">
        <v>219</v>
      </c>
    </row>
    <row r="42" spans="1:6" ht="20.100000000000001" customHeight="1">
      <c r="A42" s="2" t="s">
        <v>103</v>
      </c>
      <c r="B42" s="2" t="s">
        <v>40</v>
      </c>
      <c r="C42" s="2" t="s">
        <v>41</v>
      </c>
      <c r="D42" s="2">
        <v>160</v>
      </c>
      <c r="E42" s="8" t="s">
        <v>14</v>
      </c>
      <c r="F42" s="2" t="s">
        <v>219</v>
      </c>
    </row>
    <row r="43" spans="1:6" ht="20.100000000000001" customHeight="1">
      <c r="A43" s="3" t="s">
        <v>106</v>
      </c>
      <c r="B43" s="3" t="s">
        <v>44</v>
      </c>
      <c r="C43" s="3" t="s">
        <v>41</v>
      </c>
      <c r="D43" s="3">
        <v>143</v>
      </c>
      <c r="E43" s="7" t="s">
        <v>18</v>
      </c>
      <c r="F43" s="3" t="s">
        <v>220</v>
      </c>
    </row>
    <row r="44" spans="1:6" ht="20.100000000000001" customHeight="1">
      <c r="A44" s="2" t="s">
        <v>109</v>
      </c>
      <c r="B44" s="2" t="s">
        <v>48</v>
      </c>
      <c r="C44" s="2" t="s">
        <v>41</v>
      </c>
      <c r="D44" s="2">
        <v>158</v>
      </c>
      <c r="E44" s="8" t="s">
        <v>14</v>
      </c>
      <c r="F44" s="2" t="s">
        <v>219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Inventory_Data</vt:lpstr>
      <vt:lpstr>Summary</vt:lpstr>
      <vt:lpstr>Pivot_Analysis</vt:lpstr>
      <vt:lpstr>Delivery_Tracker</vt:lpstr>
      <vt:lpstr>Dashboard</vt:lpstr>
      <vt:lpstr>Stock_Monitor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DELHI LAPTOP</cp:lastModifiedBy>
  <dcterms:created xsi:type="dcterms:W3CDTF">2026-04-07T11:00:26Z</dcterms:created>
  <dcterms:modified xsi:type="dcterms:W3CDTF">2026-04-10T09:59:32Z</dcterms:modified>
</cp:coreProperties>
</file>